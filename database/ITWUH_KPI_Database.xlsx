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ู่มือ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pi_master" sheetId="3" state="visible" r:id="rId3"/>
    <sheet xmlns:r="http://schemas.openxmlformats.org/officeDocument/2006/relationships" name="kpi_owners" sheetId="4" state="visible" r:id="rId4"/>
    <sheet xmlns:r="http://schemas.openxmlformats.org/officeDocument/2006/relationships" name="monthly_entries" sheetId="5" state="visible" r:id="rId5"/>
    <sheet xmlns:r="http://schemas.openxmlformats.org/officeDocument/2006/relationships" name="fiscal_months" sheetId="6" state="visible" r:id="rId6"/>
    <sheet xmlns:r="http://schemas.openxmlformats.org/officeDocument/2006/relationships" name="ref_group" sheetId="7" state="visible" r:id="rId7"/>
    <sheet xmlns:r="http://schemas.openxmlformats.org/officeDocument/2006/relationships" name="ref_status" sheetId="8" state="visible" r:id="rId8"/>
    <sheet xmlns:r="http://schemas.openxmlformats.org/officeDocument/2006/relationships" name="ref_metric_type" sheetId="9" state="visible" r:id="rId9"/>
    <sheet xmlns:r="http://schemas.openxmlformats.org/officeDocument/2006/relationships" name="ref_target_direc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;(0.0%);&quot;-&quot;"/>
  </numFmts>
  <fonts count="9">
    <font>
      <name val="Calibri"/>
      <family val="2"/>
      <color theme="1"/>
      <sz val="11"/>
      <scheme val="minor"/>
    </font>
    <font>
      <name val="Sarabun"/>
      <b val="1"/>
      <color rgb="00FFFFFF"/>
      <sz val="11"/>
    </font>
    <font>
      <name val="Sarabun"/>
      <i val="1"/>
      <color rgb="007F7F7F"/>
    </font>
    <font>
      <name val="Sarabun"/>
      <b val="1"/>
      <color rgb="001F4E79"/>
      <sz val="15"/>
    </font>
    <font>
      <name val="Sarabun"/>
      <b val="1"/>
      <sz val="11"/>
    </font>
    <font>
      <name val="Sarabun"/>
      <b val="1"/>
      <color rgb="000000FF"/>
      <sz val="12"/>
    </font>
    <font>
      <name val="Sarabun"/>
      <b val="1"/>
      <color rgb="001F4E79"/>
      <sz val="12"/>
    </font>
    <font>
      <name val="Sarabun"/>
      <sz val="11"/>
    </font>
    <font>
      <name val="Sarabun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8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top" wrapText="1"/>
    </xf>
    <xf numFmtId="49" fontId="8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6DF"/>
        </patternFill>
      </fill>
    </dxf>
    <dxf>
      <fill>
        <patternFill patternType="solid">
          <fgColor rgb="00FDF0D6"/>
        </patternFill>
      </fill>
    </dxf>
    <dxf>
      <fill>
        <patternFill patternType="solid">
          <fgColor rgb="00FADEDE"/>
        </patternFill>
      </fill>
    </dxf>
    <dxf>
      <font>
        <b val="1"/>
        <color rgb="000CA30C"/>
      </font>
    </dxf>
    <dxf>
      <font>
        <b val="1"/>
        <color rgb="00C22F2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ITWUH_KPI_Tracker.html (ชุดตั้งต้น KPI_DEFAULTS 27 ตัว), uploaded 2026-10-05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แยกผู้รับผิดชอบจาก kpi_master.owner_text ที่คั่นด้วยจุลภาค 1 แถวต่อ 1 คน ใช้กรอง 'งานของฉัน' และนับภาระงาน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entry_id = kpi_id__month_key เช่น K07__2026-09 (ห้ามซ้ำ 1 KPI ต่อ 1 เดือน)
แถวที่ 2 เป็นตัวอย่าง ลบได้เมื่อเริ่มกรอกจริง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1" authorId="0" shapeId="0">
      <text>
        <t>fm_key = ปีงบประมาณ|ลำดับเดือน ใช้เป็นคีย์ค้นหาในแท็บ summary
เพิ่มปีใหม่: คัดลอก 12 แถวล่างสุดแล้วเปลี่ยนปี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ฐานข้อมูล ITWUH KPI Tracker</t>
        </is>
      </c>
    </row>
    <row r="2">
      <c r="A2" s="2" t="inlineStr"/>
    </row>
    <row r="3">
      <c r="A3" s="3" t="inlineStr">
        <is>
          <t>โครงสร้างตาราง</t>
        </is>
      </c>
    </row>
    <row r="4">
      <c r="A4" s="4" t="inlineStr">
        <is>
          <t>kpi_master: ตัวชี้วัดหลัก 1 แถวต่อ 1 KPI (ตารางแม่)</t>
        </is>
      </c>
    </row>
    <row r="5">
      <c r="A5" s="4" t="inlineStr">
        <is>
          <t>kpi_owners: ผู้รับผิดชอบ 1 แถวต่อ 1 คนต่อ 1 KPI (เชื่อมด้วย kpi_id)</t>
        </is>
      </c>
    </row>
    <row r="6">
      <c r="A6" s="4" t="inlineStr">
        <is>
          <t>monthly_entries: ผลการดำเนินงานรายเดือน 1 แถวต่อ 1 KPI ต่อ 1 เดือน (เชื่อมด้วย kpi_id และ month_key)</t>
        </is>
      </c>
    </row>
    <row r="7">
      <c r="A7" s="4" t="inlineStr">
        <is>
          <t>fiscal_months: ปฏิทินปีงบประมาณ ต.ค.–ก.ย. (ปี 2569 และ 2570)</t>
        </is>
      </c>
    </row>
    <row r="8">
      <c r="A8" s="4" t="inlineStr">
        <is>
          <t>ref_group, ref_status, ref_metric_type, ref_target_direction: ตารางรหัสอ้างอิงสำหรับ dropdown</t>
        </is>
      </c>
    </row>
    <row r="9">
      <c r="A9" s="4" t="inlineStr">
        <is>
          <t>summary: สรุปผลด้วยสูตร เลือกปีงบประมาณที่ช่อง C3</t>
        </is>
      </c>
    </row>
    <row r="10">
      <c r="A10" s="4" t="inlineStr">
        <is>
          <t>data_dictionary: คำอธิบายทุกคอลัมน์</t>
        </is>
      </c>
    </row>
    <row r="11">
      <c r="A11" s="2" t="inlineStr"/>
    </row>
    <row r="12">
      <c r="A12" s="3" t="inlineStr">
        <is>
          <t>ความสัมพันธ์</t>
        </is>
      </c>
    </row>
    <row r="13">
      <c r="A13" s="4" t="inlineStr">
        <is>
          <t>kpi_master (1) ──&lt; kpi_owners (หลาย)    kpi_master (1) ──&lt; monthly_entries (หลาย)    fiscal_months (1) ──&lt; monthly_entries (หลาย)</t>
        </is>
      </c>
    </row>
    <row r="14">
      <c r="A14" s="2" t="inlineStr"/>
    </row>
    <row r="15">
      <c r="A15" s="3" t="inlineStr">
        <is>
          <t>วิธีใช้งาน</t>
        </is>
      </c>
    </row>
    <row r="16">
      <c r="A16" s="4" t="inlineStr">
        <is>
          <t>1. เพิ่ม KPI ใหม่: เพิ่มแถวท้าย kpi_master และเพิ่มชื่อผู้รับผิดชอบใน kpi_owners</t>
        </is>
      </c>
    </row>
    <row r="17">
      <c r="A17" s="4" t="inlineStr">
        <is>
          <t>2. รายงานผลรายเดือน: เพิ่มแถวท้าย monthly_entries 1 แถวต่อ KPI ต่อเดือน โดย entry_id = kpi_id__month_key</t>
        </is>
      </c>
    </row>
    <row r="18">
      <c r="A18" s="4" t="inlineStr">
        <is>
          <t>3. เลิกใช้ KPI: ตั้ง is_active เป็น FALSE แทนการลบแถว ผลย้อนหลังจะยังอยู่</t>
        </is>
      </c>
    </row>
    <row r="19">
      <c r="A19" s="4" t="inlineStr">
        <is>
          <t>4. ขึ้นปีงบประมาณใหม่: เพิ่ม 12 แถวใน fiscal_months แล้วเลือกปีใน summary!C3</t>
        </is>
      </c>
    </row>
    <row r="20">
      <c r="A20" s="4" t="inlineStr">
        <is>
          <t>5. ต่อ Looker Studio: ใช้ monthly_entries เป็นแหล่งข้อมูลหลัก แล้ว Blend กับ kpi_master ด้วย kpi_id</t>
        </is>
      </c>
    </row>
    <row r="21">
      <c r="A21" s="2" t="inlineStr"/>
    </row>
    <row r="22">
      <c r="A22" s="3" t="inlineStr">
        <is>
          <t>สัญลักษณ์</t>
        </is>
      </c>
    </row>
    <row r="23">
      <c r="A23" s="4" t="inlineStr">
        <is>
          <t>ช่องพื้นเหลืองตัวอักษรสีน้ำเงิน = ช่องที่ผู้ใช้เปลี่ยนค่าได้ ช่องสีดำในแท็บ summary เป็นสูตร ห้ามพิมพ์ทับ</t>
        </is>
      </c>
    </row>
    <row r="24">
      <c r="A24" s="4" t="inlineStr">
        <is>
          <t>แถวสีเทาตัวเอียงใน monthly_entries = แถวตัวอย่าง ลบได้เมื่อเริ่มกรอกจริง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34" customWidth="1" min="4" max="4"/>
    <col width="22" customWidth="1" min="5" max="5"/>
    <col width="12" customWidth="1" min="6" max="6"/>
    <col width="10" customWidth="1" min="7" max="7"/>
    <col width="12" customWidth="1" min="8" max="8"/>
    <col width="12" customWidth="1" min="9" max="9"/>
    <col width="13" customWidth="1" min="10" max="10"/>
    <col width="15" customWidth="1" min="11" max="11"/>
    <col width="18" customWidth="1" min="12" max="12"/>
    <col width="14" customWidth="1" min="13" max="13"/>
    <col width="13" customWidth="1" min="14" max="14"/>
    <col width="11" customWidth="1" min="15" max="15"/>
    <col width="12" customWidth="1" min="16" max="16"/>
    <col width="13" customWidth="1" min="17" max="17"/>
  </cols>
  <sheetData>
    <row r="1">
      <c r="A1" s="1" t="inlineStr">
        <is>
          <t>สรุป KPI แผนกสารสนเทศ ตามปีงบประมาณ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ปีงบประมาณ</t>
        </is>
      </c>
      <c r="B3" s="2" t="n"/>
      <c r="C3" s="5" t="n">
        <v>2569</v>
      </c>
      <c r="D3" s="6" t="inlineStr">
        <is>
          <t>ช่องสีเหลืองตัวอักษรสีน้ำเงิน = ช่องที่เปลี่ยนได้ (เลือกปีงบประมาณ) ช่องอื่นเป็นสูตรทั้งหมด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inlineStr">
        <is>
          <t>ภาพรวม</t>
        </is>
      </c>
      <c r="B5" s="2" t="n"/>
      <c r="C5" s="7" t="inlineStr">
        <is>
          <t>ค่า</t>
        </is>
      </c>
      <c r="D5" s="2" t="n"/>
      <c r="E5" s="7" t="inlineStr">
        <is>
          <t>สถานะล่าสุด</t>
        </is>
      </c>
      <c r="F5" s="7" t="inlineStr">
        <is>
          <t>จำนวน KPI</t>
        </is>
      </c>
      <c r="G5" s="2" t="n"/>
      <c r="H5" s="7" t="inlineStr">
        <is>
          <t>ส่วน</t>
        </is>
      </c>
      <c r="I5" s="7" t="inlineStr">
        <is>
          <t>จำนวน KPI</t>
        </is>
      </c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KPI ที่ใช้งานอยู่</t>
        </is>
      </c>
      <c r="B6" s="2" t="n"/>
      <c r="C6" s="2">
        <f>COUNTIF($G$16:$G$75,TRUE)</f>
        <v/>
      </c>
      <c r="D6" s="2" t="n"/>
      <c r="E6" s="2">
        <f>ref_status!B2</f>
        <v/>
      </c>
      <c r="F6" s="2">
        <f>COUNTIFS($K$16:$K$75,ref_status!A2,$G$16:$G$75,TRUE)</f>
        <v/>
      </c>
      <c r="G6" s="2" t="n"/>
      <c r="H6" s="2">
        <f>ref_group!B2</f>
        <v/>
      </c>
      <c r="I6" s="2">
        <f>COUNTIFS($B$16:$B$75,ref_group!A2,$G$16:$G$75,TRUE)</f>
        <v/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ช่องที่ต้องรายงาน (KPI ที่มีตัวชี้วัด × 12 เดือน)</t>
        </is>
      </c>
      <c r="B7" s="2" t="n"/>
      <c r="C7" s="2">
        <f>COUNTIFS($G$16:$G$75,TRUE,$D$16:$D$75,"?*")*12</f>
        <v/>
      </c>
      <c r="D7" s="2" t="n"/>
      <c r="E7" s="2">
        <f>ref_status!B3</f>
        <v/>
      </c>
      <c r="F7" s="2">
        <f>COUNTIFS($K$16:$K$75,ref_status!A3,$G$16:$G$75,TRUE)</f>
        <v/>
      </c>
      <c r="G7" s="2" t="n"/>
      <c r="H7" s="2">
        <f>ref_group!B3</f>
        <v/>
      </c>
      <c r="I7" s="2">
        <f>COUNTIFS($B$16:$B$75,ref_group!A3,$G$16:$G$75,TRUE)</f>
        <v/>
      </c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ช่องที่รายงานแล้ว</t>
        </is>
      </c>
      <c r="B8" s="2" t="n"/>
      <c r="C8" s="2">
        <f>SUMIFS($H$16:$H$75,$G$16:$G$75,TRUE,$D$16:$D$75,"?*")</f>
        <v/>
      </c>
      <c r="D8" s="2" t="n"/>
      <c r="E8" s="2">
        <f>ref_status!B4</f>
        <v/>
      </c>
      <c r="F8" s="2">
        <f>COUNTIFS($K$16:$K$75,ref_status!A4,$G$16:$G$75,TRUE)</f>
        <v/>
      </c>
      <c r="G8" s="2" t="n"/>
      <c r="H8" s="2">
        <f>ref_group!B4</f>
        <v/>
      </c>
      <c r="I8" s="2">
        <f>COUNTIFS($B$16:$B$75,ref_group!A4,$G$16:$G$75,TRUE)</f>
        <v/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ความคืบหน้าการรายงาน</t>
        </is>
      </c>
      <c r="B9" s="2" t="n"/>
      <c r="C9" s="8">
        <f>IF(C7=0,0,C8/C7)</f>
        <v/>
      </c>
      <c r="D9" s="2" t="n"/>
      <c r="E9" s="2">
        <f>ref_status!B5</f>
        <v/>
      </c>
      <c r="F9" s="2">
        <f>COUNTIFS($K$16:$K$75,ref_status!A5,$G$16:$G$75,TRUE)</f>
        <v/>
      </c>
      <c r="G9" s="2" t="n"/>
      <c r="H9" s="3" t="inlineStr">
        <is>
          <t>รวม</t>
        </is>
      </c>
      <c r="I9" s="3">
        <f>SUM(I6:I8)</f>
        <v/>
      </c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3" t="inlineStr">
        <is>
          <t>รวม</t>
        </is>
      </c>
      <c r="F10" s="3">
        <f>SUM(F6:F9)</f>
        <v/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9" t="inlineStr">
        <is>
          <t>รายละเอียดราย KPI (ดึงจาก kpi_master แถวละ 1 ตัว รองรับ 60 ตัว)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 ht="32" customHeight="1">
      <c r="A15" s="7" t="inlineStr">
        <is>
          <t>kpi_id</t>
        </is>
      </c>
      <c r="B15" s="7" t="inlineStr">
        <is>
          <t>group_code</t>
        </is>
      </c>
      <c r="C15" s="7" t="inlineStr">
        <is>
          <t>task_name</t>
        </is>
      </c>
      <c r="D15" s="7" t="inlineStr">
        <is>
          <t>kpi_name</t>
        </is>
      </c>
      <c r="E15" s="7" t="inlineStr">
        <is>
          <t>owner_text</t>
        </is>
      </c>
      <c r="F15" s="7" t="inlineStr">
        <is>
          <t>metric_type</t>
        </is>
      </c>
      <c r="G15" s="7" t="inlineStr">
        <is>
          <t>is_active</t>
        </is>
      </c>
      <c r="H15" s="7" t="inlineStr">
        <is>
          <t>reported_months</t>
        </is>
      </c>
      <c r="I15" s="7" t="inlineStr">
        <is>
          <t>latest_month_no</t>
        </is>
      </c>
      <c r="J15" s="7" t="inlineStr">
        <is>
          <t>latest_month_key</t>
        </is>
      </c>
      <c r="K15" s="7" t="inlineStr">
        <is>
          <t>latest_status_code</t>
        </is>
      </c>
      <c r="L15" s="7" t="inlineStr">
        <is>
          <t>latest_status</t>
        </is>
      </c>
      <c r="M15" s="7" t="inlineStr">
        <is>
          <t>latest_actual</t>
        </is>
      </c>
      <c r="N15" s="7" t="inlineStr">
        <is>
          <t>cumulative_count</t>
        </is>
      </c>
      <c r="O15" s="7" t="inlineStr">
        <is>
          <t>target_num</t>
        </is>
      </c>
      <c r="P15" s="7" t="inlineStr">
        <is>
          <t>target_direction</t>
        </is>
      </c>
      <c r="Q15" s="7" t="inlineStr">
        <is>
          <t>target_result</t>
        </is>
      </c>
    </row>
    <row r="16">
      <c r="A16" s="2">
        <f>IF(kpi_master!A2="","",kpi_master!A2)</f>
        <v/>
      </c>
      <c r="B16" s="2">
        <f>IF($A16="","",kpi_master!C2&amp;"")</f>
        <v/>
      </c>
      <c r="C16" s="2">
        <f>IF($A16="","",kpi_master!F2&amp;"")</f>
        <v/>
      </c>
      <c r="D16" s="2">
        <f>IF($A16="","",kpi_master!G2&amp;"")</f>
        <v/>
      </c>
      <c r="E16" s="2">
        <f>IF($A16="","",kpi_master!E2&amp;"")</f>
        <v/>
      </c>
      <c r="F16" s="2">
        <f>IF($A16="","",kpi_master!H2&amp;"")</f>
        <v/>
      </c>
      <c r="G16" s="2">
        <f>IF($A16="","",kpi_master!N2)</f>
        <v/>
      </c>
      <c r="H16" s="2">
        <f>IF($A16="","",COUNTIFS(monthly_entries!$B:$B,$A16,monthly_entries!$C:$C,$C$3,monthly_entries!$G:$G,"&lt;&gt;not_started"))</f>
        <v/>
      </c>
      <c r="I16" s="2">
        <f>IF($A16="","",_xlfn.MAXIFS(monthly_entries!$E:$E,monthly_entries!$B:$B,$A16,monthly_entries!$C:$C,$C$3))</f>
        <v/>
      </c>
      <c r="J16" s="2">
        <f>IF(OR($A16="",$I16=0),"",INDEX(fiscal_months!$D:$D,MATCH($C$3&amp;"|"&amp;TEXT($I16,"00"),fiscal_months!$A:$A,0)))</f>
        <v/>
      </c>
      <c r="K16" s="2">
        <f>IF($A16="","",IF($I16=0,"not_started",INDEX(monthly_entries!$G:$G,MATCH($A16&amp;"__"&amp;$J16,monthly_entries!$A:$A,0))))</f>
        <v/>
      </c>
      <c r="L16" s="2">
        <f>IF($A16="","",INDEX(ref_status!$B:$B,MATCH($K16,ref_status!$A:$A,0)))</f>
        <v/>
      </c>
      <c r="M16" s="2">
        <f>IF(OR($A16="",$I16=0),"",INDEX(monthly_entries!$H:$H,MATCH($A16&amp;"__"&amp;$J16,monthly_entries!$A:$A,0))&amp;"")</f>
        <v/>
      </c>
      <c r="N16" s="2">
        <f>IF($A16="","",IF($F16="count",SUMIFS(monthly_entries!$I:$I,monthly_entries!$B:$B,$A16,monthly_entries!$C:$C,$C$3),""))</f>
        <v/>
      </c>
      <c r="O16" s="2">
        <f>IF($A16="","",kpi_master!J2&amp;"")</f>
        <v/>
      </c>
      <c r="P16" s="2">
        <f>IF($A16="","",kpi_master!L2&amp;"")</f>
        <v/>
      </c>
      <c r="Q16" s="2">
        <f>IF(OR($A16="",$F16&lt;&gt;"count",$O16=""),"",IF($P16="lte",IF($N16&lt;=VALUE($O16),"ผ่าน","ไม่ผ่าน"),IF($N16&gt;=VALUE($O16),"ผ่าน","ยังไม่ถึงเป้า")))</f>
        <v/>
      </c>
    </row>
    <row r="17">
      <c r="A17" s="2">
        <f>IF(kpi_master!A3="","",kpi_master!A3)</f>
        <v/>
      </c>
      <c r="B17" s="2">
        <f>IF($A17="","",kpi_master!C3&amp;"")</f>
        <v/>
      </c>
      <c r="C17" s="2">
        <f>IF($A17="","",kpi_master!F3&amp;"")</f>
        <v/>
      </c>
      <c r="D17" s="2">
        <f>IF($A17="","",kpi_master!G3&amp;"")</f>
        <v/>
      </c>
      <c r="E17" s="2">
        <f>IF($A17="","",kpi_master!E3&amp;"")</f>
        <v/>
      </c>
      <c r="F17" s="2">
        <f>IF($A17="","",kpi_master!H3&amp;"")</f>
        <v/>
      </c>
      <c r="G17" s="2">
        <f>IF($A17="","",kpi_master!N3)</f>
        <v/>
      </c>
      <c r="H17" s="2">
        <f>IF($A17="","",COUNTIFS(monthly_entries!$B:$B,$A17,monthly_entries!$C:$C,$C$3,monthly_entries!$G:$G,"&lt;&gt;not_started"))</f>
        <v/>
      </c>
      <c r="I17" s="2">
        <f>IF($A17="","",_xlfn.MAXIFS(monthly_entries!$E:$E,monthly_entries!$B:$B,$A17,monthly_entries!$C:$C,$C$3))</f>
        <v/>
      </c>
      <c r="J17" s="2">
        <f>IF(OR($A17="",$I17=0),"",INDEX(fiscal_months!$D:$D,MATCH($C$3&amp;"|"&amp;TEXT($I17,"00"),fiscal_months!$A:$A,0)))</f>
        <v/>
      </c>
      <c r="K17" s="2">
        <f>IF($A17="","",IF($I17=0,"not_started",INDEX(monthly_entries!$G:$G,MATCH($A17&amp;"__"&amp;$J17,monthly_entries!$A:$A,0))))</f>
        <v/>
      </c>
      <c r="L17" s="2">
        <f>IF($A17="","",INDEX(ref_status!$B:$B,MATCH($K17,ref_status!$A:$A,0)))</f>
        <v/>
      </c>
      <c r="M17" s="2">
        <f>IF(OR($A17="",$I17=0),"",INDEX(monthly_entries!$H:$H,MATCH($A17&amp;"__"&amp;$J17,monthly_entries!$A:$A,0))&amp;"")</f>
        <v/>
      </c>
      <c r="N17" s="2">
        <f>IF($A17="","",IF($F17="count",SUMIFS(monthly_entries!$I:$I,monthly_entries!$B:$B,$A17,monthly_entries!$C:$C,$C$3),""))</f>
        <v/>
      </c>
      <c r="O17" s="2">
        <f>IF($A17="","",kpi_master!J3&amp;"")</f>
        <v/>
      </c>
      <c r="P17" s="2">
        <f>IF($A17="","",kpi_master!L3&amp;"")</f>
        <v/>
      </c>
      <c r="Q17" s="2">
        <f>IF(OR($A17="",$F17&lt;&gt;"count",$O17=""),"",IF($P17="lte",IF($N17&lt;=VALUE($O17),"ผ่าน","ไม่ผ่าน"),IF($N17&gt;=VALUE($O17),"ผ่าน","ยังไม่ถึงเป้า")))</f>
        <v/>
      </c>
    </row>
    <row r="18">
      <c r="A18" s="2">
        <f>IF(kpi_master!A4="","",kpi_master!A4)</f>
        <v/>
      </c>
      <c r="B18" s="2">
        <f>IF($A18="","",kpi_master!C4&amp;"")</f>
        <v/>
      </c>
      <c r="C18" s="2">
        <f>IF($A18="","",kpi_master!F4&amp;"")</f>
        <v/>
      </c>
      <c r="D18" s="2">
        <f>IF($A18="","",kpi_master!G4&amp;"")</f>
        <v/>
      </c>
      <c r="E18" s="2">
        <f>IF($A18="","",kpi_master!E4&amp;"")</f>
        <v/>
      </c>
      <c r="F18" s="2">
        <f>IF($A18="","",kpi_master!H4&amp;"")</f>
        <v/>
      </c>
      <c r="G18" s="2">
        <f>IF($A18="","",kpi_master!N4)</f>
        <v/>
      </c>
      <c r="H18" s="2">
        <f>IF($A18="","",COUNTIFS(monthly_entries!$B:$B,$A18,monthly_entries!$C:$C,$C$3,monthly_entries!$G:$G,"&lt;&gt;not_started"))</f>
        <v/>
      </c>
      <c r="I18" s="2">
        <f>IF($A18="","",_xlfn.MAXIFS(monthly_entries!$E:$E,monthly_entries!$B:$B,$A18,monthly_entries!$C:$C,$C$3))</f>
        <v/>
      </c>
      <c r="J18" s="2">
        <f>IF(OR($A18="",$I18=0),"",INDEX(fiscal_months!$D:$D,MATCH($C$3&amp;"|"&amp;TEXT($I18,"00"),fiscal_months!$A:$A,0)))</f>
        <v/>
      </c>
      <c r="K18" s="2">
        <f>IF($A18="","",IF($I18=0,"not_started",INDEX(monthly_entries!$G:$G,MATCH($A18&amp;"__"&amp;$J18,monthly_entries!$A:$A,0))))</f>
        <v/>
      </c>
      <c r="L18" s="2">
        <f>IF($A18="","",INDEX(ref_status!$B:$B,MATCH($K18,ref_status!$A:$A,0)))</f>
        <v/>
      </c>
      <c r="M18" s="2">
        <f>IF(OR($A18="",$I18=0),"",INDEX(monthly_entries!$H:$H,MATCH($A18&amp;"__"&amp;$J18,monthly_entries!$A:$A,0))&amp;"")</f>
        <v/>
      </c>
      <c r="N18" s="2">
        <f>IF($A18="","",IF($F18="count",SUMIFS(monthly_entries!$I:$I,monthly_entries!$B:$B,$A18,monthly_entries!$C:$C,$C$3),""))</f>
        <v/>
      </c>
      <c r="O18" s="2">
        <f>IF($A18="","",kpi_master!J4&amp;"")</f>
        <v/>
      </c>
      <c r="P18" s="2">
        <f>IF($A18="","",kpi_master!L4&amp;"")</f>
        <v/>
      </c>
      <c r="Q18" s="2">
        <f>IF(OR($A18="",$F18&lt;&gt;"count",$O18=""),"",IF($P18="lte",IF($N18&lt;=VALUE($O18),"ผ่าน","ไม่ผ่าน"),IF($N18&gt;=VALUE($O18),"ผ่าน","ยังไม่ถึงเป้า")))</f>
        <v/>
      </c>
    </row>
    <row r="19">
      <c r="A19" s="2">
        <f>IF(kpi_master!A5="","",kpi_master!A5)</f>
        <v/>
      </c>
      <c r="B19" s="2">
        <f>IF($A19="","",kpi_master!C5&amp;"")</f>
        <v/>
      </c>
      <c r="C19" s="2">
        <f>IF($A19="","",kpi_master!F5&amp;"")</f>
        <v/>
      </c>
      <c r="D19" s="2">
        <f>IF($A19="","",kpi_master!G5&amp;"")</f>
        <v/>
      </c>
      <c r="E19" s="2">
        <f>IF($A19="","",kpi_master!E5&amp;"")</f>
        <v/>
      </c>
      <c r="F19" s="2">
        <f>IF($A19="","",kpi_master!H5&amp;"")</f>
        <v/>
      </c>
      <c r="G19" s="2">
        <f>IF($A19="","",kpi_master!N5)</f>
        <v/>
      </c>
      <c r="H19" s="2">
        <f>IF($A19="","",COUNTIFS(monthly_entries!$B:$B,$A19,monthly_entries!$C:$C,$C$3,monthly_entries!$G:$G,"&lt;&gt;not_started"))</f>
        <v/>
      </c>
      <c r="I19" s="2">
        <f>IF($A19="","",_xlfn.MAXIFS(monthly_entries!$E:$E,monthly_entries!$B:$B,$A19,monthly_entries!$C:$C,$C$3))</f>
        <v/>
      </c>
      <c r="J19" s="2">
        <f>IF(OR($A19="",$I19=0),"",INDEX(fiscal_months!$D:$D,MATCH($C$3&amp;"|"&amp;TEXT($I19,"00"),fiscal_months!$A:$A,0)))</f>
        <v/>
      </c>
      <c r="K19" s="2">
        <f>IF($A19="","",IF($I19=0,"not_started",INDEX(monthly_entries!$G:$G,MATCH($A19&amp;"__"&amp;$J19,monthly_entries!$A:$A,0))))</f>
        <v/>
      </c>
      <c r="L19" s="2">
        <f>IF($A19="","",INDEX(ref_status!$B:$B,MATCH($K19,ref_status!$A:$A,0)))</f>
        <v/>
      </c>
      <c r="M19" s="2">
        <f>IF(OR($A19="",$I19=0),"",INDEX(monthly_entries!$H:$H,MATCH($A19&amp;"__"&amp;$J19,monthly_entries!$A:$A,0))&amp;"")</f>
        <v/>
      </c>
      <c r="N19" s="2">
        <f>IF($A19="","",IF($F19="count",SUMIFS(monthly_entries!$I:$I,monthly_entries!$B:$B,$A19,monthly_entries!$C:$C,$C$3),""))</f>
        <v/>
      </c>
      <c r="O19" s="2">
        <f>IF($A19="","",kpi_master!J5&amp;"")</f>
        <v/>
      </c>
      <c r="P19" s="2">
        <f>IF($A19="","",kpi_master!L5&amp;"")</f>
        <v/>
      </c>
      <c r="Q19" s="2">
        <f>IF(OR($A19="",$F19&lt;&gt;"count",$O19=""),"",IF($P19="lte",IF($N19&lt;=VALUE($O19),"ผ่าน","ไม่ผ่าน"),IF($N19&gt;=VALUE($O19),"ผ่าน","ยังไม่ถึงเป้า")))</f>
        <v/>
      </c>
    </row>
    <row r="20">
      <c r="A20" s="2">
        <f>IF(kpi_master!A6="","",kpi_master!A6)</f>
        <v/>
      </c>
      <c r="B20" s="2">
        <f>IF($A20="","",kpi_master!C6&amp;"")</f>
        <v/>
      </c>
      <c r="C20" s="2">
        <f>IF($A20="","",kpi_master!F6&amp;"")</f>
        <v/>
      </c>
      <c r="D20" s="2">
        <f>IF($A20="","",kpi_master!G6&amp;"")</f>
        <v/>
      </c>
      <c r="E20" s="2">
        <f>IF($A20="","",kpi_master!E6&amp;"")</f>
        <v/>
      </c>
      <c r="F20" s="2">
        <f>IF($A20="","",kpi_master!H6&amp;"")</f>
        <v/>
      </c>
      <c r="G20" s="2">
        <f>IF($A20="","",kpi_master!N6)</f>
        <v/>
      </c>
      <c r="H20" s="2">
        <f>IF($A20="","",COUNTIFS(monthly_entries!$B:$B,$A20,monthly_entries!$C:$C,$C$3,monthly_entries!$G:$G,"&lt;&gt;not_started"))</f>
        <v/>
      </c>
      <c r="I20" s="2">
        <f>IF($A20="","",_xlfn.MAXIFS(monthly_entries!$E:$E,monthly_entries!$B:$B,$A20,monthly_entries!$C:$C,$C$3))</f>
        <v/>
      </c>
      <c r="J20" s="2">
        <f>IF(OR($A20="",$I20=0),"",INDEX(fiscal_months!$D:$D,MATCH($C$3&amp;"|"&amp;TEXT($I20,"00"),fiscal_months!$A:$A,0)))</f>
        <v/>
      </c>
      <c r="K20" s="2">
        <f>IF($A20="","",IF($I20=0,"not_started",INDEX(monthly_entries!$G:$G,MATCH($A20&amp;"__"&amp;$J20,monthly_entries!$A:$A,0))))</f>
        <v/>
      </c>
      <c r="L20" s="2">
        <f>IF($A20="","",INDEX(ref_status!$B:$B,MATCH($K20,ref_status!$A:$A,0)))</f>
        <v/>
      </c>
      <c r="M20" s="2">
        <f>IF(OR($A20="",$I20=0),"",INDEX(monthly_entries!$H:$H,MATCH($A20&amp;"__"&amp;$J20,monthly_entries!$A:$A,0))&amp;"")</f>
        <v/>
      </c>
      <c r="N20" s="2">
        <f>IF($A20="","",IF($F20="count",SUMIFS(monthly_entries!$I:$I,monthly_entries!$B:$B,$A20,monthly_entries!$C:$C,$C$3),""))</f>
        <v/>
      </c>
      <c r="O20" s="2">
        <f>IF($A20="","",kpi_master!J6&amp;"")</f>
        <v/>
      </c>
      <c r="P20" s="2">
        <f>IF($A20="","",kpi_master!L6&amp;"")</f>
        <v/>
      </c>
      <c r="Q20" s="2">
        <f>IF(OR($A20="",$F20&lt;&gt;"count",$O20=""),"",IF($P20="lte",IF($N20&lt;=VALUE($O20),"ผ่าน","ไม่ผ่าน"),IF($N20&gt;=VALUE($O20),"ผ่าน","ยังไม่ถึงเป้า")))</f>
        <v/>
      </c>
    </row>
    <row r="21">
      <c r="A21" s="2">
        <f>IF(kpi_master!A7="","",kpi_master!A7)</f>
        <v/>
      </c>
      <c r="B21" s="2">
        <f>IF($A21="","",kpi_master!C7&amp;"")</f>
        <v/>
      </c>
      <c r="C21" s="2">
        <f>IF($A21="","",kpi_master!F7&amp;"")</f>
        <v/>
      </c>
      <c r="D21" s="2">
        <f>IF($A21="","",kpi_master!G7&amp;"")</f>
        <v/>
      </c>
      <c r="E21" s="2">
        <f>IF($A21="","",kpi_master!E7&amp;"")</f>
        <v/>
      </c>
      <c r="F21" s="2">
        <f>IF($A21="","",kpi_master!H7&amp;"")</f>
        <v/>
      </c>
      <c r="G21" s="2">
        <f>IF($A21="","",kpi_master!N7)</f>
        <v/>
      </c>
      <c r="H21" s="2">
        <f>IF($A21="","",COUNTIFS(monthly_entries!$B:$B,$A21,monthly_entries!$C:$C,$C$3,monthly_entries!$G:$G,"&lt;&gt;not_started"))</f>
        <v/>
      </c>
      <c r="I21" s="2">
        <f>IF($A21="","",_xlfn.MAXIFS(monthly_entries!$E:$E,monthly_entries!$B:$B,$A21,monthly_entries!$C:$C,$C$3))</f>
        <v/>
      </c>
      <c r="J21" s="2">
        <f>IF(OR($A21="",$I21=0),"",INDEX(fiscal_months!$D:$D,MATCH($C$3&amp;"|"&amp;TEXT($I21,"00"),fiscal_months!$A:$A,0)))</f>
        <v/>
      </c>
      <c r="K21" s="2">
        <f>IF($A21="","",IF($I21=0,"not_started",INDEX(monthly_entries!$G:$G,MATCH($A21&amp;"__"&amp;$J21,monthly_entries!$A:$A,0))))</f>
        <v/>
      </c>
      <c r="L21" s="2">
        <f>IF($A21="","",INDEX(ref_status!$B:$B,MATCH($K21,ref_status!$A:$A,0)))</f>
        <v/>
      </c>
      <c r="M21" s="2">
        <f>IF(OR($A21="",$I21=0),"",INDEX(monthly_entries!$H:$H,MATCH($A21&amp;"__"&amp;$J21,monthly_entries!$A:$A,0))&amp;"")</f>
        <v/>
      </c>
      <c r="N21" s="2">
        <f>IF($A21="","",IF($F21="count",SUMIFS(monthly_entries!$I:$I,monthly_entries!$B:$B,$A21,monthly_entries!$C:$C,$C$3),""))</f>
        <v/>
      </c>
      <c r="O21" s="2">
        <f>IF($A21="","",kpi_master!J7&amp;"")</f>
        <v/>
      </c>
      <c r="P21" s="2">
        <f>IF($A21="","",kpi_master!L7&amp;"")</f>
        <v/>
      </c>
      <c r="Q21" s="2">
        <f>IF(OR($A21="",$F21&lt;&gt;"count",$O21=""),"",IF($P21="lte",IF($N21&lt;=VALUE($O21),"ผ่าน","ไม่ผ่าน"),IF($N21&gt;=VALUE($O21),"ผ่าน","ยังไม่ถึงเป้า")))</f>
        <v/>
      </c>
    </row>
    <row r="22">
      <c r="A22" s="2">
        <f>IF(kpi_master!A8="","",kpi_master!A8)</f>
        <v/>
      </c>
      <c r="B22" s="2">
        <f>IF($A22="","",kpi_master!C8&amp;"")</f>
        <v/>
      </c>
      <c r="C22" s="2">
        <f>IF($A22="","",kpi_master!F8&amp;"")</f>
        <v/>
      </c>
      <c r="D22" s="2">
        <f>IF($A22="","",kpi_master!G8&amp;"")</f>
        <v/>
      </c>
      <c r="E22" s="2">
        <f>IF($A22="","",kpi_master!E8&amp;"")</f>
        <v/>
      </c>
      <c r="F22" s="2">
        <f>IF($A22="","",kpi_master!H8&amp;"")</f>
        <v/>
      </c>
      <c r="G22" s="2">
        <f>IF($A22="","",kpi_master!N8)</f>
        <v/>
      </c>
      <c r="H22" s="2">
        <f>IF($A22="","",COUNTIFS(monthly_entries!$B:$B,$A22,monthly_entries!$C:$C,$C$3,monthly_entries!$G:$G,"&lt;&gt;not_started"))</f>
        <v/>
      </c>
      <c r="I22" s="2">
        <f>IF($A22="","",_xlfn.MAXIFS(monthly_entries!$E:$E,monthly_entries!$B:$B,$A22,monthly_entries!$C:$C,$C$3))</f>
        <v/>
      </c>
      <c r="J22" s="2">
        <f>IF(OR($A22="",$I22=0),"",INDEX(fiscal_months!$D:$D,MATCH($C$3&amp;"|"&amp;TEXT($I22,"00"),fiscal_months!$A:$A,0)))</f>
        <v/>
      </c>
      <c r="K22" s="2">
        <f>IF($A22="","",IF($I22=0,"not_started",INDEX(monthly_entries!$G:$G,MATCH($A22&amp;"__"&amp;$J22,monthly_entries!$A:$A,0))))</f>
        <v/>
      </c>
      <c r="L22" s="2">
        <f>IF($A22="","",INDEX(ref_status!$B:$B,MATCH($K22,ref_status!$A:$A,0)))</f>
        <v/>
      </c>
      <c r="M22" s="2">
        <f>IF(OR($A22="",$I22=0),"",INDEX(monthly_entries!$H:$H,MATCH($A22&amp;"__"&amp;$J22,monthly_entries!$A:$A,0))&amp;"")</f>
        <v/>
      </c>
      <c r="N22" s="2">
        <f>IF($A22="","",IF($F22="count",SUMIFS(monthly_entries!$I:$I,monthly_entries!$B:$B,$A22,monthly_entries!$C:$C,$C$3),""))</f>
        <v/>
      </c>
      <c r="O22" s="2">
        <f>IF($A22="","",kpi_master!J8&amp;"")</f>
        <v/>
      </c>
      <c r="P22" s="2">
        <f>IF($A22="","",kpi_master!L8&amp;"")</f>
        <v/>
      </c>
      <c r="Q22" s="2">
        <f>IF(OR($A22="",$F22&lt;&gt;"count",$O22=""),"",IF($P22="lte",IF($N22&lt;=VALUE($O22),"ผ่าน","ไม่ผ่าน"),IF($N22&gt;=VALUE($O22),"ผ่าน","ยังไม่ถึงเป้า")))</f>
        <v/>
      </c>
    </row>
    <row r="23">
      <c r="A23" s="2">
        <f>IF(kpi_master!A9="","",kpi_master!A9)</f>
        <v/>
      </c>
      <c r="B23" s="2">
        <f>IF($A23="","",kpi_master!C9&amp;"")</f>
        <v/>
      </c>
      <c r="C23" s="2">
        <f>IF($A23="","",kpi_master!F9&amp;"")</f>
        <v/>
      </c>
      <c r="D23" s="2">
        <f>IF($A23="","",kpi_master!G9&amp;"")</f>
        <v/>
      </c>
      <c r="E23" s="2">
        <f>IF($A23="","",kpi_master!E9&amp;"")</f>
        <v/>
      </c>
      <c r="F23" s="2">
        <f>IF($A23="","",kpi_master!H9&amp;"")</f>
        <v/>
      </c>
      <c r="G23" s="2">
        <f>IF($A23="","",kpi_master!N9)</f>
        <v/>
      </c>
      <c r="H23" s="2">
        <f>IF($A23="","",COUNTIFS(monthly_entries!$B:$B,$A23,monthly_entries!$C:$C,$C$3,monthly_entries!$G:$G,"&lt;&gt;not_started"))</f>
        <v/>
      </c>
      <c r="I23" s="2">
        <f>IF($A23="","",_xlfn.MAXIFS(monthly_entries!$E:$E,monthly_entries!$B:$B,$A23,monthly_entries!$C:$C,$C$3))</f>
        <v/>
      </c>
      <c r="J23" s="2">
        <f>IF(OR($A23="",$I23=0),"",INDEX(fiscal_months!$D:$D,MATCH($C$3&amp;"|"&amp;TEXT($I23,"00"),fiscal_months!$A:$A,0)))</f>
        <v/>
      </c>
      <c r="K23" s="2">
        <f>IF($A23="","",IF($I23=0,"not_started",INDEX(monthly_entries!$G:$G,MATCH($A23&amp;"__"&amp;$J23,monthly_entries!$A:$A,0))))</f>
        <v/>
      </c>
      <c r="L23" s="2">
        <f>IF($A23="","",INDEX(ref_status!$B:$B,MATCH($K23,ref_status!$A:$A,0)))</f>
        <v/>
      </c>
      <c r="M23" s="2">
        <f>IF(OR($A23="",$I23=0),"",INDEX(monthly_entries!$H:$H,MATCH($A23&amp;"__"&amp;$J23,monthly_entries!$A:$A,0))&amp;"")</f>
        <v/>
      </c>
      <c r="N23" s="2">
        <f>IF($A23="","",IF($F23="count",SUMIFS(monthly_entries!$I:$I,monthly_entries!$B:$B,$A23,monthly_entries!$C:$C,$C$3),""))</f>
        <v/>
      </c>
      <c r="O23" s="2">
        <f>IF($A23="","",kpi_master!J9&amp;"")</f>
        <v/>
      </c>
      <c r="P23" s="2">
        <f>IF($A23="","",kpi_master!L9&amp;"")</f>
        <v/>
      </c>
      <c r="Q23" s="2">
        <f>IF(OR($A23="",$F23&lt;&gt;"count",$O23=""),"",IF($P23="lte",IF($N23&lt;=VALUE($O23),"ผ่าน","ไม่ผ่าน"),IF($N23&gt;=VALUE($O23),"ผ่าน","ยังไม่ถึงเป้า")))</f>
        <v/>
      </c>
    </row>
    <row r="24">
      <c r="A24" s="2">
        <f>IF(kpi_master!A10="","",kpi_master!A10)</f>
        <v/>
      </c>
      <c r="B24" s="2">
        <f>IF($A24="","",kpi_master!C10&amp;"")</f>
        <v/>
      </c>
      <c r="C24" s="2">
        <f>IF($A24="","",kpi_master!F10&amp;"")</f>
        <v/>
      </c>
      <c r="D24" s="2">
        <f>IF($A24="","",kpi_master!G10&amp;"")</f>
        <v/>
      </c>
      <c r="E24" s="2">
        <f>IF($A24="","",kpi_master!E10&amp;"")</f>
        <v/>
      </c>
      <c r="F24" s="2">
        <f>IF($A24="","",kpi_master!H10&amp;"")</f>
        <v/>
      </c>
      <c r="G24" s="2">
        <f>IF($A24="","",kpi_master!N10)</f>
        <v/>
      </c>
      <c r="H24" s="2">
        <f>IF($A24="","",COUNTIFS(monthly_entries!$B:$B,$A24,monthly_entries!$C:$C,$C$3,monthly_entries!$G:$G,"&lt;&gt;not_started"))</f>
        <v/>
      </c>
      <c r="I24" s="2">
        <f>IF($A24="","",_xlfn.MAXIFS(monthly_entries!$E:$E,monthly_entries!$B:$B,$A24,monthly_entries!$C:$C,$C$3))</f>
        <v/>
      </c>
      <c r="J24" s="2">
        <f>IF(OR($A24="",$I24=0),"",INDEX(fiscal_months!$D:$D,MATCH($C$3&amp;"|"&amp;TEXT($I24,"00"),fiscal_months!$A:$A,0)))</f>
        <v/>
      </c>
      <c r="K24" s="2">
        <f>IF($A24="","",IF($I24=0,"not_started",INDEX(monthly_entries!$G:$G,MATCH($A24&amp;"__"&amp;$J24,monthly_entries!$A:$A,0))))</f>
        <v/>
      </c>
      <c r="L24" s="2">
        <f>IF($A24="","",INDEX(ref_status!$B:$B,MATCH($K24,ref_status!$A:$A,0)))</f>
        <v/>
      </c>
      <c r="M24" s="2">
        <f>IF(OR($A24="",$I24=0),"",INDEX(monthly_entries!$H:$H,MATCH($A24&amp;"__"&amp;$J24,monthly_entries!$A:$A,0))&amp;"")</f>
        <v/>
      </c>
      <c r="N24" s="2">
        <f>IF($A24="","",IF($F24="count",SUMIFS(monthly_entries!$I:$I,monthly_entries!$B:$B,$A24,monthly_entries!$C:$C,$C$3),""))</f>
        <v/>
      </c>
      <c r="O24" s="2">
        <f>IF($A24="","",kpi_master!J10&amp;"")</f>
        <v/>
      </c>
      <c r="P24" s="2">
        <f>IF($A24="","",kpi_master!L10&amp;"")</f>
        <v/>
      </c>
      <c r="Q24" s="2">
        <f>IF(OR($A24="",$F24&lt;&gt;"count",$O24=""),"",IF($P24="lte",IF($N24&lt;=VALUE($O24),"ผ่าน","ไม่ผ่าน"),IF($N24&gt;=VALUE($O24),"ผ่าน","ยังไม่ถึงเป้า")))</f>
        <v/>
      </c>
    </row>
    <row r="25">
      <c r="A25" s="2">
        <f>IF(kpi_master!A11="","",kpi_master!A11)</f>
        <v/>
      </c>
      <c r="B25" s="2">
        <f>IF($A25="","",kpi_master!C11&amp;"")</f>
        <v/>
      </c>
      <c r="C25" s="2">
        <f>IF($A25="","",kpi_master!F11&amp;"")</f>
        <v/>
      </c>
      <c r="D25" s="2">
        <f>IF($A25="","",kpi_master!G11&amp;"")</f>
        <v/>
      </c>
      <c r="E25" s="2">
        <f>IF($A25="","",kpi_master!E11&amp;"")</f>
        <v/>
      </c>
      <c r="F25" s="2">
        <f>IF($A25="","",kpi_master!H11&amp;"")</f>
        <v/>
      </c>
      <c r="G25" s="2">
        <f>IF($A25="","",kpi_master!N11)</f>
        <v/>
      </c>
      <c r="H25" s="2">
        <f>IF($A25="","",COUNTIFS(monthly_entries!$B:$B,$A25,monthly_entries!$C:$C,$C$3,monthly_entries!$G:$G,"&lt;&gt;not_started"))</f>
        <v/>
      </c>
      <c r="I25" s="2">
        <f>IF($A25="","",_xlfn.MAXIFS(monthly_entries!$E:$E,monthly_entries!$B:$B,$A25,monthly_entries!$C:$C,$C$3))</f>
        <v/>
      </c>
      <c r="J25" s="2">
        <f>IF(OR($A25="",$I25=0),"",INDEX(fiscal_months!$D:$D,MATCH($C$3&amp;"|"&amp;TEXT($I25,"00"),fiscal_months!$A:$A,0)))</f>
        <v/>
      </c>
      <c r="K25" s="2">
        <f>IF($A25="","",IF($I25=0,"not_started",INDEX(monthly_entries!$G:$G,MATCH($A25&amp;"__"&amp;$J25,monthly_entries!$A:$A,0))))</f>
        <v/>
      </c>
      <c r="L25" s="2">
        <f>IF($A25="","",INDEX(ref_status!$B:$B,MATCH($K25,ref_status!$A:$A,0)))</f>
        <v/>
      </c>
      <c r="M25" s="2">
        <f>IF(OR($A25="",$I25=0),"",INDEX(monthly_entries!$H:$H,MATCH($A25&amp;"__"&amp;$J25,monthly_entries!$A:$A,0))&amp;"")</f>
        <v/>
      </c>
      <c r="N25" s="2">
        <f>IF($A25="","",IF($F25="count",SUMIFS(monthly_entries!$I:$I,monthly_entries!$B:$B,$A25,monthly_entries!$C:$C,$C$3),""))</f>
        <v/>
      </c>
      <c r="O25" s="2">
        <f>IF($A25="","",kpi_master!J11&amp;"")</f>
        <v/>
      </c>
      <c r="P25" s="2">
        <f>IF($A25="","",kpi_master!L11&amp;"")</f>
        <v/>
      </c>
      <c r="Q25" s="2">
        <f>IF(OR($A25="",$F25&lt;&gt;"count",$O25=""),"",IF($P25="lte",IF($N25&lt;=VALUE($O25),"ผ่าน","ไม่ผ่าน"),IF($N25&gt;=VALUE($O25),"ผ่าน","ยังไม่ถึงเป้า")))</f>
        <v/>
      </c>
    </row>
    <row r="26">
      <c r="A26" s="2">
        <f>IF(kpi_master!A12="","",kpi_master!A12)</f>
        <v/>
      </c>
      <c r="B26" s="2">
        <f>IF($A26="","",kpi_master!C12&amp;"")</f>
        <v/>
      </c>
      <c r="C26" s="2">
        <f>IF($A26="","",kpi_master!F12&amp;"")</f>
        <v/>
      </c>
      <c r="D26" s="2">
        <f>IF($A26="","",kpi_master!G12&amp;"")</f>
        <v/>
      </c>
      <c r="E26" s="2">
        <f>IF($A26="","",kpi_master!E12&amp;"")</f>
        <v/>
      </c>
      <c r="F26" s="2">
        <f>IF($A26="","",kpi_master!H12&amp;"")</f>
        <v/>
      </c>
      <c r="G26" s="2">
        <f>IF($A26="","",kpi_master!N12)</f>
        <v/>
      </c>
      <c r="H26" s="2">
        <f>IF($A26="","",COUNTIFS(monthly_entries!$B:$B,$A26,monthly_entries!$C:$C,$C$3,monthly_entries!$G:$G,"&lt;&gt;not_started"))</f>
        <v/>
      </c>
      <c r="I26" s="2">
        <f>IF($A26="","",_xlfn.MAXIFS(monthly_entries!$E:$E,monthly_entries!$B:$B,$A26,monthly_entries!$C:$C,$C$3))</f>
        <v/>
      </c>
      <c r="J26" s="2">
        <f>IF(OR($A26="",$I26=0),"",INDEX(fiscal_months!$D:$D,MATCH($C$3&amp;"|"&amp;TEXT($I26,"00"),fiscal_months!$A:$A,0)))</f>
        <v/>
      </c>
      <c r="K26" s="2">
        <f>IF($A26="","",IF($I26=0,"not_started",INDEX(monthly_entries!$G:$G,MATCH($A26&amp;"__"&amp;$J26,monthly_entries!$A:$A,0))))</f>
        <v/>
      </c>
      <c r="L26" s="2">
        <f>IF($A26="","",INDEX(ref_status!$B:$B,MATCH($K26,ref_status!$A:$A,0)))</f>
        <v/>
      </c>
      <c r="M26" s="2">
        <f>IF(OR($A26="",$I26=0),"",INDEX(monthly_entries!$H:$H,MATCH($A26&amp;"__"&amp;$J26,monthly_entries!$A:$A,0))&amp;"")</f>
        <v/>
      </c>
      <c r="N26" s="2">
        <f>IF($A26="","",IF($F26="count",SUMIFS(monthly_entries!$I:$I,monthly_entries!$B:$B,$A26,monthly_entries!$C:$C,$C$3),""))</f>
        <v/>
      </c>
      <c r="O26" s="2">
        <f>IF($A26="","",kpi_master!J12&amp;"")</f>
        <v/>
      </c>
      <c r="P26" s="2">
        <f>IF($A26="","",kpi_master!L12&amp;"")</f>
        <v/>
      </c>
      <c r="Q26" s="2">
        <f>IF(OR($A26="",$F26&lt;&gt;"count",$O26=""),"",IF($P26="lte",IF($N26&lt;=VALUE($O26),"ผ่าน","ไม่ผ่าน"),IF($N26&gt;=VALUE($O26),"ผ่าน","ยังไม่ถึงเป้า")))</f>
        <v/>
      </c>
    </row>
    <row r="27">
      <c r="A27" s="2">
        <f>IF(kpi_master!A13="","",kpi_master!A13)</f>
        <v/>
      </c>
      <c r="B27" s="2">
        <f>IF($A27="","",kpi_master!C13&amp;"")</f>
        <v/>
      </c>
      <c r="C27" s="2">
        <f>IF($A27="","",kpi_master!F13&amp;"")</f>
        <v/>
      </c>
      <c r="D27" s="2">
        <f>IF($A27="","",kpi_master!G13&amp;"")</f>
        <v/>
      </c>
      <c r="E27" s="2">
        <f>IF($A27="","",kpi_master!E13&amp;"")</f>
        <v/>
      </c>
      <c r="F27" s="2">
        <f>IF($A27="","",kpi_master!H13&amp;"")</f>
        <v/>
      </c>
      <c r="G27" s="2">
        <f>IF($A27="","",kpi_master!N13)</f>
        <v/>
      </c>
      <c r="H27" s="2">
        <f>IF($A27="","",COUNTIFS(monthly_entries!$B:$B,$A27,monthly_entries!$C:$C,$C$3,monthly_entries!$G:$G,"&lt;&gt;not_started"))</f>
        <v/>
      </c>
      <c r="I27" s="2">
        <f>IF($A27="","",_xlfn.MAXIFS(monthly_entries!$E:$E,monthly_entries!$B:$B,$A27,monthly_entries!$C:$C,$C$3))</f>
        <v/>
      </c>
      <c r="J27" s="2">
        <f>IF(OR($A27="",$I27=0),"",INDEX(fiscal_months!$D:$D,MATCH($C$3&amp;"|"&amp;TEXT($I27,"00"),fiscal_months!$A:$A,0)))</f>
        <v/>
      </c>
      <c r="K27" s="2">
        <f>IF($A27="","",IF($I27=0,"not_started",INDEX(monthly_entries!$G:$G,MATCH($A27&amp;"__"&amp;$J27,monthly_entries!$A:$A,0))))</f>
        <v/>
      </c>
      <c r="L27" s="2">
        <f>IF($A27="","",INDEX(ref_status!$B:$B,MATCH($K27,ref_status!$A:$A,0)))</f>
        <v/>
      </c>
      <c r="M27" s="2">
        <f>IF(OR($A27="",$I27=0),"",INDEX(monthly_entries!$H:$H,MATCH($A27&amp;"__"&amp;$J27,monthly_entries!$A:$A,0))&amp;"")</f>
        <v/>
      </c>
      <c r="N27" s="2">
        <f>IF($A27="","",IF($F27="count",SUMIFS(monthly_entries!$I:$I,monthly_entries!$B:$B,$A27,monthly_entries!$C:$C,$C$3),""))</f>
        <v/>
      </c>
      <c r="O27" s="2">
        <f>IF($A27="","",kpi_master!J13&amp;"")</f>
        <v/>
      </c>
      <c r="P27" s="2">
        <f>IF($A27="","",kpi_master!L13&amp;"")</f>
        <v/>
      </c>
      <c r="Q27" s="2">
        <f>IF(OR($A27="",$F27&lt;&gt;"count",$O27=""),"",IF($P27="lte",IF($N27&lt;=VALUE($O27),"ผ่าน","ไม่ผ่าน"),IF($N27&gt;=VALUE($O27),"ผ่าน","ยังไม่ถึงเป้า")))</f>
        <v/>
      </c>
    </row>
    <row r="28">
      <c r="A28" s="2">
        <f>IF(kpi_master!A14="","",kpi_master!A14)</f>
        <v/>
      </c>
      <c r="B28" s="2">
        <f>IF($A28="","",kpi_master!C14&amp;"")</f>
        <v/>
      </c>
      <c r="C28" s="2">
        <f>IF($A28="","",kpi_master!F14&amp;"")</f>
        <v/>
      </c>
      <c r="D28" s="2">
        <f>IF($A28="","",kpi_master!G14&amp;"")</f>
        <v/>
      </c>
      <c r="E28" s="2">
        <f>IF($A28="","",kpi_master!E14&amp;"")</f>
        <v/>
      </c>
      <c r="F28" s="2">
        <f>IF($A28="","",kpi_master!H14&amp;"")</f>
        <v/>
      </c>
      <c r="G28" s="2">
        <f>IF($A28="","",kpi_master!N14)</f>
        <v/>
      </c>
      <c r="H28" s="2">
        <f>IF($A28="","",COUNTIFS(monthly_entries!$B:$B,$A28,monthly_entries!$C:$C,$C$3,monthly_entries!$G:$G,"&lt;&gt;not_started"))</f>
        <v/>
      </c>
      <c r="I28" s="2">
        <f>IF($A28="","",_xlfn.MAXIFS(monthly_entries!$E:$E,monthly_entries!$B:$B,$A28,monthly_entries!$C:$C,$C$3))</f>
        <v/>
      </c>
      <c r="J28" s="2">
        <f>IF(OR($A28="",$I28=0),"",INDEX(fiscal_months!$D:$D,MATCH($C$3&amp;"|"&amp;TEXT($I28,"00"),fiscal_months!$A:$A,0)))</f>
        <v/>
      </c>
      <c r="K28" s="2">
        <f>IF($A28="","",IF($I28=0,"not_started",INDEX(monthly_entries!$G:$G,MATCH($A28&amp;"__"&amp;$J28,monthly_entries!$A:$A,0))))</f>
        <v/>
      </c>
      <c r="L28" s="2">
        <f>IF($A28="","",INDEX(ref_status!$B:$B,MATCH($K28,ref_status!$A:$A,0)))</f>
        <v/>
      </c>
      <c r="M28" s="2">
        <f>IF(OR($A28="",$I28=0),"",INDEX(monthly_entries!$H:$H,MATCH($A28&amp;"__"&amp;$J28,monthly_entries!$A:$A,0))&amp;"")</f>
        <v/>
      </c>
      <c r="N28" s="2">
        <f>IF($A28="","",IF($F28="count",SUMIFS(monthly_entries!$I:$I,monthly_entries!$B:$B,$A28,monthly_entries!$C:$C,$C$3),""))</f>
        <v/>
      </c>
      <c r="O28" s="2">
        <f>IF($A28="","",kpi_master!J14&amp;"")</f>
        <v/>
      </c>
      <c r="P28" s="2">
        <f>IF($A28="","",kpi_master!L14&amp;"")</f>
        <v/>
      </c>
      <c r="Q28" s="2">
        <f>IF(OR($A28="",$F28&lt;&gt;"count",$O28=""),"",IF($P28="lte",IF($N28&lt;=VALUE($O28),"ผ่าน","ไม่ผ่าน"),IF($N28&gt;=VALUE($O28),"ผ่าน","ยังไม่ถึงเป้า")))</f>
        <v/>
      </c>
    </row>
    <row r="29">
      <c r="A29" s="2">
        <f>IF(kpi_master!A15="","",kpi_master!A15)</f>
        <v/>
      </c>
      <c r="B29" s="2">
        <f>IF($A29="","",kpi_master!C15&amp;"")</f>
        <v/>
      </c>
      <c r="C29" s="2">
        <f>IF($A29="","",kpi_master!F15&amp;"")</f>
        <v/>
      </c>
      <c r="D29" s="2">
        <f>IF($A29="","",kpi_master!G15&amp;"")</f>
        <v/>
      </c>
      <c r="E29" s="2">
        <f>IF($A29="","",kpi_master!E15&amp;"")</f>
        <v/>
      </c>
      <c r="F29" s="2">
        <f>IF($A29="","",kpi_master!H15&amp;"")</f>
        <v/>
      </c>
      <c r="G29" s="2">
        <f>IF($A29="","",kpi_master!N15)</f>
        <v/>
      </c>
      <c r="H29" s="2">
        <f>IF($A29="","",COUNTIFS(monthly_entries!$B:$B,$A29,monthly_entries!$C:$C,$C$3,monthly_entries!$G:$G,"&lt;&gt;not_started"))</f>
        <v/>
      </c>
      <c r="I29" s="2">
        <f>IF($A29="","",_xlfn.MAXIFS(monthly_entries!$E:$E,monthly_entries!$B:$B,$A29,monthly_entries!$C:$C,$C$3))</f>
        <v/>
      </c>
      <c r="J29" s="2">
        <f>IF(OR($A29="",$I29=0),"",INDEX(fiscal_months!$D:$D,MATCH($C$3&amp;"|"&amp;TEXT($I29,"00"),fiscal_months!$A:$A,0)))</f>
        <v/>
      </c>
      <c r="K29" s="2">
        <f>IF($A29="","",IF($I29=0,"not_started",INDEX(monthly_entries!$G:$G,MATCH($A29&amp;"__"&amp;$J29,monthly_entries!$A:$A,0))))</f>
        <v/>
      </c>
      <c r="L29" s="2">
        <f>IF($A29="","",INDEX(ref_status!$B:$B,MATCH($K29,ref_status!$A:$A,0)))</f>
        <v/>
      </c>
      <c r="M29" s="2">
        <f>IF(OR($A29="",$I29=0),"",INDEX(monthly_entries!$H:$H,MATCH($A29&amp;"__"&amp;$J29,monthly_entries!$A:$A,0))&amp;"")</f>
        <v/>
      </c>
      <c r="N29" s="2">
        <f>IF($A29="","",IF($F29="count",SUMIFS(monthly_entries!$I:$I,monthly_entries!$B:$B,$A29,monthly_entries!$C:$C,$C$3),""))</f>
        <v/>
      </c>
      <c r="O29" s="2">
        <f>IF($A29="","",kpi_master!J15&amp;"")</f>
        <v/>
      </c>
      <c r="P29" s="2">
        <f>IF($A29="","",kpi_master!L15&amp;"")</f>
        <v/>
      </c>
      <c r="Q29" s="2">
        <f>IF(OR($A29="",$F29&lt;&gt;"count",$O29=""),"",IF($P29="lte",IF($N29&lt;=VALUE($O29),"ผ่าน","ไม่ผ่าน"),IF($N29&gt;=VALUE($O29),"ผ่าน","ยังไม่ถึงเป้า")))</f>
        <v/>
      </c>
    </row>
    <row r="30">
      <c r="A30" s="2">
        <f>IF(kpi_master!A16="","",kpi_master!A16)</f>
        <v/>
      </c>
      <c r="B30" s="2">
        <f>IF($A30="","",kpi_master!C16&amp;"")</f>
        <v/>
      </c>
      <c r="C30" s="2">
        <f>IF($A30="","",kpi_master!F16&amp;"")</f>
        <v/>
      </c>
      <c r="D30" s="2">
        <f>IF($A30="","",kpi_master!G16&amp;"")</f>
        <v/>
      </c>
      <c r="E30" s="2">
        <f>IF($A30="","",kpi_master!E16&amp;"")</f>
        <v/>
      </c>
      <c r="F30" s="2">
        <f>IF($A30="","",kpi_master!H16&amp;"")</f>
        <v/>
      </c>
      <c r="G30" s="2">
        <f>IF($A30="","",kpi_master!N16)</f>
        <v/>
      </c>
      <c r="H30" s="2">
        <f>IF($A30="","",COUNTIFS(monthly_entries!$B:$B,$A30,monthly_entries!$C:$C,$C$3,monthly_entries!$G:$G,"&lt;&gt;not_started"))</f>
        <v/>
      </c>
      <c r="I30" s="2">
        <f>IF($A30="","",_xlfn.MAXIFS(monthly_entries!$E:$E,monthly_entries!$B:$B,$A30,monthly_entries!$C:$C,$C$3))</f>
        <v/>
      </c>
      <c r="J30" s="2">
        <f>IF(OR($A30="",$I30=0),"",INDEX(fiscal_months!$D:$D,MATCH($C$3&amp;"|"&amp;TEXT($I30,"00"),fiscal_months!$A:$A,0)))</f>
        <v/>
      </c>
      <c r="K30" s="2">
        <f>IF($A30="","",IF($I30=0,"not_started",INDEX(monthly_entries!$G:$G,MATCH($A30&amp;"__"&amp;$J30,monthly_entries!$A:$A,0))))</f>
        <v/>
      </c>
      <c r="L30" s="2">
        <f>IF($A30="","",INDEX(ref_status!$B:$B,MATCH($K30,ref_status!$A:$A,0)))</f>
        <v/>
      </c>
      <c r="M30" s="2">
        <f>IF(OR($A30="",$I30=0),"",INDEX(monthly_entries!$H:$H,MATCH($A30&amp;"__"&amp;$J30,monthly_entries!$A:$A,0))&amp;"")</f>
        <v/>
      </c>
      <c r="N30" s="2">
        <f>IF($A30="","",IF($F30="count",SUMIFS(monthly_entries!$I:$I,monthly_entries!$B:$B,$A30,monthly_entries!$C:$C,$C$3),""))</f>
        <v/>
      </c>
      <c r="O30" s="2">
        <f>IF($A30="","",kpi_master!J16&amp;"")</f>
        <v/>
      </c>
      <c r="P30" s="2">
        <f>IF($A30="","",kpi_master!L16&amp;"")</f>
        <v/>
      </c>
      <c r="Q30" s="2">
        <f>IF(OR($A30="",$F30&lt;&gt;"count",$O30=""),"",IF($P30="lte",IF($N30&lt;=VALUE($O30),"ผ่าน","ไม่ผ่าน"),IF($N30&gt;=VALUE($O30),"ผ่าน","ยังไม่ถึงเป้า")))</f>
        <v/>
      </c>
    </row>
    <row r="31">
      <c r="A31" s="2">
        <f>IF(kpi_master!A17="","",kpi_master!A17)</f>
        <v/>
      </c>
      <c r="B31" s="2">
        <f>IF($A31="","",kpi_master!C17&amp;"")</f>
        <v/>
      </c>
      <c r="C31" s="2">
        <f>IF($A31="","",kpi_master!F17&amp;"")</f>
        <v/>
      </c>
      <c r="D31" s="2">
        <f>IF($A31="","",kpi_master!G17&amp;"")</f>
        <v/>
      </c>
      <c r="E31" s="2">
        <f>IF($A31="","",kpi_master!E17&amp;"")</f>
        <v/>
      </c>
      <c r="F31" s="2">
        <f>IF($A31="","",kpi_master!H17&amp;"")</f>
        <v/>
      </c>
      <c r="G31" s="2">
        <f>IF($A31="","",kpi_master!N17)</f>
        <v/>
      </c>
      <c r="H31" s="2">
        <f>IF($A31="","",COUNTIFS(monthly_entries!$B:$B,$A31,monthly_entries!$C:$C,$C$3,monthly_entries!$G:$G,"&lt;&gt;not_started"))</f>
        <v/>
      </c>
      <c r="I31" s="2">
        <f>IF($A31="","",_xlfn.MAXIFS(monthly_entries!$E:$E,monthly_entries!$B:$B,$A31,monthly_entries!$C:$C,$C$3))</f>
        <v/>
      </c>
      <c r="J31" s="2">
        <f>IF(OR($A31="",$I31=0),"",INDEX(fiscal_months!$D:$D,MATCH($C$3&amp;"|"&amp;TEXT($I31,"00"),fiscal_months!$A:$A,0)))</f>
        <v/>
      </c>
      <c r="K31" s="2">
        <f>IF($A31="","",IF($I31=0,"not_started",INDEX(monthly_entries!$G:$G,MATCH($A31&amp;"__"&amp;$J31,monthly_entries!$A:$A,0))))</f>
        <v/>
      </c>
      <c r="L31" s="2">
        <f>IF($A31="","",INDEX(ref_status!$B:$B,MATCH($K31,ref_status!$A:$A,0)))</f>
        <v/>
      </c>
      <c r="M31" s="2">
        <f>IF(OR($A31="",$I31=0),"",INDEX(monthly_entries!$H:$H,MATCH($A31&amp;"__"&amp;$J31,monthly_entries!$A:$A,0))&amp;"")</f>
        <v/>
      </c>
      <c r="N31" s="2">
        <f>IF($A31="","",IF($F31="count",SUMIFS(monthly_entries!$I:$I,monthly_entries!$B:$B,$A31,monthly_entries!$C:$C,$C$3),""))</f>
        <v/>
      </c>
      <c r="O31" s="2">
        <f>IF($A31="","",kpi_master!J17&amp;"")</f>
        <v/>
      </c>
      <c r="P31" s="2">
        <f>IF($A31="","",kpi_master!L17&amp;"")</f>
        <v/>
      </c>
      <c r="Q31" s="2">
        <f>IF(OR($A31="",$F31&lt;&gt;"count",$O31=""),"",IF($P31="lte",IF($N31&lt;=VALUE($O31),"ผ่าน","ไม่ผ่าน"),IF($N31&gt;=VALUE($O31),"ผ่าน","ยังไม่ถึงเป้า")))</f>
        <v/>
      </c>
    </row>
    <row r="32">
      <c r="A32" s="2">
        <f>IF(kpi_master!A18="","",kpi_master!A18)</f>
        <v/>
      </c>
      <c r="B32" s="2">
        <f>IF($A32="","",kpi_master!C18&amp;"")</f>
        <v/>
      </c>
      <c r="C32" s="2">
        <f>IF($A32="","",kpi_master!F18&amp;"")</f>
        <v/>
      </c>
      <c r="D32" s="2">
        <f>IF($A32="","",kpi_master!G18&amp;"")</f>
        <v/>
      </c>
      <c r="E32" s="2">
        <f>IF($A32="","",kpi_master!E18&amp;"")</f>
        <v/>
      </c>
      <c r="F32" s="2">
        <f>IF($A32="","",kpi_master!H18&amp;"")</f>
        <v/>
      </c>
      <c r="G32" s="2">
        <f>IF($A32="","",kpi_master!N18)</f>
        <v/>
      </c>
      <c r="H32" s="2">
        <f>IF($A32="","",COUNTIFS(monthly_entries!$B:$B,$A32,monthly_entries!$C:$C,$C$3,monthly_entries!$G:$G,"&lt;&gt;not_started"))</f>
        <v/>
      </c>
      <c r="I32" s="2">
        <f>IF($A32="","",_xlfn.MAXIFS(monthly_entries!$E:$E,monthly_entries!$B:$B,$A32,monthly_entries!$C:$C,$C$3))</f>
        <v/>
      </c>
      <c r="J32" s="2">
        <f>IF(OR($A32="",$I32=0),"",INDEX(fiscal_months!$D:$D,MATCH($C$3&amp;"|"&amp;TEXT($I32,"00"),fiscal_months!$A:$A,0)))</f>
        <v/>
      </c>
      <c r="K32" s="2">
        <f>IF($A32="","",IF($I32=0,"not_started",INDEX(monthly_entries!$G:$G,MATCH($A32&amp;"__"&amp;$J32,monthly_entries!$A:$A,0))))</f>
        <v/>
      </c>
      <c r="L32" s="2">
        <f>IF($A32="","",INDEX(ref_status!$B:$B,MATCH($K32,ref_status!$A:$A,0)))</f>
        <v/>
      </c>
      <c r="M32" s="2">
        <f>IF(OR($A32="",$I32=0),"",INDEX(monthly_entries!$H:$H,MATCH($A32&amp;"__"&amp;$J32,monthly_entries!$A:$A,0))&amp;"")</f>
        <v/>
      </c>
      <c r="N32" s="2">
        <f>IF($A32="","",IF($F32="count",SUMIFS(monthly_entries!$I:$I,monthly_entries!$B:$B,$A32,monthly_entries!$C:$C,$C$3),""))</f>
        <v/>
      </c>
      <c r="O32" s="2">
        <f>IF($A32="","",kpi_master!J18&amp;"")</f>
        <v/>
      </c>
      <c r="P32" s="2">
        <f>IF($A32="","",kpi_master!L18&amp;"")</f>
        <v/>
      </c>
      <c r="Q32" s="2">
        <f>IF(OR($A32="",$F32&lt;&gt;"count",$O32=""),"",IF($P32="lte",IF($N32&lt;=VALUE($O32),"ผ่าน","ไม่ผ่าน"),IF($N32&gt;=VALUE($O32),"ผ่าน","ยังไม่ถึงเป้า")))</f>
        <v/>
      </c>
    </row>
    <row r="33">
      <c r="A33" s="2">
        <f>IF(kpi_master!A19="","",kpi_master!A19)</f>
        <v/>
      </c>
      <c r="B33" s="2">
        <f>IF($A33="","",kpi_master!C19&amp;"")</f>
        <v/>
      </c>
      <c r="C33" s="2">
        <f>IF($A33="","",kpi_master!F19&amp;"")</f>
        <v/>
      </c>
      <c r="D33" s="2">
        <f>IF($A33="","",kpi_master!G19&amp;"")</f>
        <v/>
      </c>
      <c r="E33" s="2">
        <f>IF($A33="","",kpi_master!E19&amp;"")</f>
        <v/>
      </c>
      <c r="F33" s="2">
        <f>IF($A33="","",kpi_master!H19&amp;"")</f>
        <v/>
      </c>
      <c r="G33" s="2">
        <f>IF($A33="","",kpi_master!N19)</f>
        <v/>
      </c>
      <c r="H33" s="2">
        <f>IF($A33="","",COUNTIFS(monthly_entries!$B:$B,$A33,monthly_entries!$C:$C,$C$3,monthly_entries!$G:$G,"&lt;&gt;not_started"))</f>
        <v/>
      </c>
      <c r="I33" s="2">
        <f>IF($A33="","",_xlfn.MAXIFS(monthly_entries!$E:$E,monthly_entries!$B:$B,$A33,monthly_entries!$C:$C,$C$3))</f>
        <v/>
      </c>
      <c r="J33" s="2">
        <f>IF(OR($A33="",$I33=0),"",INDEX(fiscal_months!$D:$D,MATCH($C$3&amp;"|"&amp;TEXT($I33,"00"),fiscal_months!$A:$A,0)))</f>
        <v/>
      </c>
      <c r="K33" s="2">
        <f>IF($A33="","",IF($I33=0,"not_started",INDEX(monthly_entries!$G:$G,MATCH($A33&amp;"__"&amp;$J33,monthly_entries!$A:$A,0))))</f>
        <v/>
      </c>
      <c r="L33" s="2">
        <f>IF($A33="","",INDEX(ref_status!$B:$B,MATCH($K33,ref_status!$A:$A,0)))</f>
        <v/>
      </c>
      <c r="M33" s="2">
        <f>IF(OR($A33="",$I33=0),"",INDEX(monthly_entries!$H:$H,MATCH($A33&amp;"__"&amp;$J33,monthly_entries!$A:$A,0))&amp;"")</f>
        <v/>
      </c>
      <c r="N33" s="2">
        <f>IF($A33="","",IF($F33="count",SUMIFS(monthly_entries!$I:$I,monthly_entries!$B:$B,$A33,monthly_entries!$C:$C,$C$3),""))</f>
        <v/>
      </c>
      <c r="O33" s="2">
        <f>IF($A33="","",kpi_master!J19&amp;"")</f>
        <v/>
      </c>
      <c r="P33" s="2">
        <f>IF($A33="","",kpi_master!L19&amp;"")</f>
        <v/>
      </c>
      <c r="Q33" s="2">
        <f>IF(OR($A33="",$F33&lt;&gt;"count",$O33=""),"",IF($P33="lte",IF($N33&lt;=VALUE($O33),"ผ่าน","ไม่ผ่าน"),IF($N33&gt;=VALUE($O33),"ผ่าน","ยังไม่ถึงเป้า")))</f>
        <v/>
      </c>
    </row>
    <row r="34">
      <c r="A34" s="2">
        <f>IF(kpi_master!A20="","",kpi_master!A20)</f>
        <v/>
      </c>
      <c r="B34" s="2">
        <f>IF($A34="","",kpi_master!C20&amp;"")</f>
        <v/>
      </c>
      <c r="C34" s="2">
        <f>IF($A34="","",kpi_master!F20&amp;"")</f>
        <v/>
      </c>
      <c r="D34" s="2">
        <f>IF($A34="","",kpi_master!G20&amp;"")</f>
        <v/>
      </c>
      <c r="E34" s="2">
        <f>IF($A34="","",kpi_master!E20&amp;"")</f>
        <v/>
      </c>
      <c r="F34" s="2">
        <f>IF($A34="","",kpi_master!H20&amp;"")</f>
        <v/>
      </c>
      <c r="G34" s="2">
        <f>IF($A34="","",kpi_master!N20)</f>
        <v/>
      </c>
      <c r="H34" s="2">
        <f>IF($A34="","",COUNTIFS(monthly_entries!$B:$B,$A34,monthly_entries!$C:$C,$C$3,monthly_entries!$G:$G,"&lt;&gt;not_started"))</f>
        <v/>
      </c>
      <c r="I34" s="2">
        <f>IF($A34="","",_xlfn.MAXIFS(monthly_entries!$E:$E,monthly_entries!$B:$B,$A34,monthly_entries!$C:$C,$C$3))</f>
        <v/>
      </c>
      <c r="J34" s="2">
        <f>IF(OR($A34="",$I34=0),"",INDEX(fiscal_months!$D:$D,MATCH($C$3&amp;"|"&amp;TEXT($I34,"00"),fiscal_months!$A:$A,0)))</f>
        <v/>
      </c>
      <c r="K34" s="2">
        <f>IF($A34="","",IF($I34=0,"not_started",INDEX(monthly_entries!$G:$G,MATCH($A34&amp;"__"&amp;$J34,monthly_entries!$A:$A,0))))</f>
        <v/>
      </c>
      <c r="L34" s="2">
        <f>IF($A34="","",INDEX(ref_status!$B:$B,MATCH($K34,ref_status!$A:$A,0)))</f>
        <v/>
      </c>
      <c r="M34" s="2">
        <f>IF(OR($A34="",$I34=0),"",INDEX(monthly_entries!$H:$H,MATCH($A34&amp;"__"&amp;$J34,monthly_entries!$A:$A,0))&amp;"")</f>
        <v/>
      </c>
      <c r="N34" s="2">
        <f>IF($A34="","",IF($F34="count",SUMIFS(monthly_entries!$I:$I,monthly_entries!$B:$B,$A34,monthly_entries!$C:$C,$C$3),""))</f>
        <v/>
      </c>
      <c r="O34" s="2">
        <f>IF($A34="","",kpi_master!J20&amp;"")</f>
        <v/>
      </c>
      <c r="P34" s="2">
        <f>IF($A34="","",kpi_master!L20&amp;"")</f>
        <v/>
      </c>
      <c r="Q34" s="2">
        <f>IF(OR($A34="",$F34&lt;&gt;"count",$O34=""),"",IF($P34="lte",IF($N34&lt;=VALUE($O34),"ผ่าน","ไม่ผ่าน"),IF($N34&gt;=VALUE($O34),"ผ่าน","ยังไม่ถึงเป้า")))</f>
        <v/>
      </c>
    </row>
    <row r="35">
      <c r="A35" s="2">
        <f>IF(kpi_master!A21="","",kpi_master!A21)</f>
        <v/>
      </c>
      <c r="B35" s="2">
        <f>IF($A35="","",kpi_master!C21&amp;"")</f>
        <v/>
      </c>
      <c r="C35" s="2">
        <f>IF($A35="","",kpi_master!F21&amp;"")</f>
        <v/>
      </c>
      <c r="D35" s="2">
        <f>IF($A35="","",kpi_master!G21&amp;"")</f>
        <v/>
      </c>
      <c r="E35" s="2">
        <f>IF($A35="","",kpi_master!E21&amp;"")</f>
        <v/>
      </c>
      <c r="F35" s="2">
        <f>IF($A35="","",kpi_master!H21&amp;"")</f>
        <v/>
      </c>
      <c r="G35" s="2">
        <f>IF($A35="","",kpi_master!N21)</f>
        <v/>
      </c>
      <c r="H35" s="2">
        <f>IF($A35="","",COUNTIFS(monthly_entries!$B:$B,$A35,monthly_entries!$C:$C,$C$3,monthly_entries!$G:$G,"&lt;&gt;not_started"))</f>
        <v/>
      </c>
      <c r="I35" s="2">
        <f>IF($A35="","",_xlfn.MAXIFS(monthly_entries!$E:$E,monthly_entries!$B:$B,$A35,monthly_entries!$C:$C,$C$3))</f>
        <v/>
      </c>
      <c r="J35" s="2">
        <f>IF(OR($A35="",$I35=0),"",INDEX(fiscal_months!$D:$D,MATCH($C$3&amp;"|"&amp;TEXT($I35,"00"),fiscal_months!$A:$A,0)))</f>
        <v/>
      </c>
      <c r="K35" s="2">
        <f>IF($A35="","",IF($I35=0,"not_started",INDEX(monthly_entries!$G:$G,MATCH($A35&amp;"__"&amp;$J35,monthly_entries!$A:$A,0))))</f>
        <v/>
      </c>
      <c r="L35" s="2">
        <f>IF($A35="","",INDEX(ref_status!$B:$B,MATCH($K35,ref_status!$A:$A,0)))</f>
        <v/>
      </c>
      <c r="M35" s="2">
        <f>IF(OR($A35="",$I35=0),"",INDEX(monthly_entries!$H:$H,MATCH($A35&amp;"__"&amp;$J35,monthly_entries!$A:$A,0))&amp;"")</f>
        <v/>
      </c>
      <c r="N35" s="2">
        <f>IF($A35="","",IF($F35="count",SUMIFS(monthly_entries!$I:$I,monthly_entries!$B:$B,$A35,monthly_entries!$C:$C,$C$3),""))</f>
        <v/>
      </c>
      <c r="O35" s="2">
        <f>IF($A35="","",kpi_master!J21&amp;"")</f>
        <v/>
      </c>
      <c r="P35" s="2">
        <f>IF($A35="","",kpi_master!L21&amp;"")</f>
        <v/>
      </c>
      <c r="Q35" s="2">
        <f>IF(OR($A35="",$F35&lt;&gt;"count",$O35=""),"",IF($P35="lte",IF($N35&lt;=VALUE($O35),"ผ่าน","ไม่ผ่าน"),IF($N35&gt;=VALUE($O35),"ผ่าน","ยังไม่ถึงเป้า")))</f>
        <v/>
      </c>
    </row>
    <row r="36">
      <c r="A36" s="2">
        <f>IF(kpi_master!A22="","",kpi_master!A22)</f>
        <v/>
      </c>
      <c r="B36" s="2">
        <f>IF($A36="","",kpi_master!C22&amp;"")</f>
        <v/>
      </c>
      <c r="C36" s="2">
        <f>IF($A36="","",kpi_master!F22&amp;"")</f>
        <v/>
      </c>
      <c r="D36" s="2">
        <f>IF($A36="","",kpi_master!G22&amp;"")</f>
        <v/>
      </c>
      <c r="E36" s="2">
        <f>IF($A36="","",kpi_master!E22&amp;"")</f>
        <v/>
      </c>
      <c r="F36" s="2">
        <f>IF($A36="","",kpi_master!H22&amp;"")</f>
        <v/>
      </c>
      <c r="G36" s="2">
        <f>IF($A36="","",kpi_master!N22)</f>
        <v/>
      </c>
      <c r="H36" s="2">
        <f>IF($A36="","",COUNTIFS(monthly_entries!$B:$B,$A36,monthly_entries!$C:$C,$C$3,monthly_entries!$G:$G,"&lt;&gt;not_started"))</f>
        <v/>
      </c>
      <c r="I36" s="2">
        <f>IF($A36="","",_xlfn.MAXIFS(monthly_entries!$E:$E,monthly_entries!$B:$B,$A36,monthly_entries!$C:$C,$C$3))</f>
        <v/>
      </c>
      <c r="J36" s="2">
        <f>IF(OR($A36="",$I36=0),"",INDEX(fiscal_months!$D:$D,MATCH($C$3&amp;"|"&amp;TEXT($I36,"00"),fiscal_months!$A:$A,0)))</f>
        <v/>
      </c>
      <c r="K36" s="2">
        <f>IF($A36="","",IF($I36=0,"not_started",INDEX(monthly_entries!$G:$G,MATCH($A36&amp;"__"&amp;$J36,monthly_entries!$A:$A,0))))</f>
        <v/>
      </c>
      <c r="L36" s="2">
        <f>IF($A36="","",INDEX(ref_status!$B:$B,MATCH($K36,ref_status!$A:$A,0)))</f>
        <v/>
      </c>
      <c r="M36" s="2">
        <f>IF(OR($A36="",$I36=0),"",INDEX(monthly_entries!$H:$H,MATCH($A36&amp;"__"&amp;$J36,monthly_entries!$A:$A,0))&amp;"")</f>
        <v/>
      </c>
      <c r="N36" s="2">
        <f>IF($A36="","",IF($F36="count",SUMIFS(monthly_entries!$I:$I,monthly_entries!$B:$B,$A36,monthly_entries!$C:$C,$C$3),""))</f>
        <v/>
      </c>
      <c r="O36" s="2">
        <f>IF($A36="","",kpi_master!J22&amp;"")</f>
        <v/>
      </c>
      <c r="P36" s="2">
        <f>IF($A36="","",kpi_master!L22&amp;"")</f>
        <v/>
      </c>
      <c r="Q36" s="2">
        <f>IF(OR($A36="",$F36&lt;&gt;"count",$O36=""),"",IF($P36="lte",IF($N36&lt;=VALUE($O36),"ผ่าน","ไม่ผ่าน"),IF($N36&gt;=VALUE($O36),"ผ่าน","ยังไม่ถึงเป้า")))</f>
        <v/>
      </c>
    </row>
    <row r="37">
      <c r="A37" s="2">
        <f>IF(kpi_master!A23="","",kpi_master!A23)</f>
        <v/>
      </c>
      <c r="B37" s="2">
        <f>IF($A37="","",kpi_master!C23&amp;"")</f>
        <v/>
      </c>
      <c r="C37" s="2">
        <f>IF($A37="","",kpi_master!F23&amp;"")</f>
        <v/>
      </c>
      <c r="D37" s="2">
        <f>IF($A37="","",kpi_master!G23&amp;"")</f>
        <v/>
      </c>
      <c r="E37" s="2">
        <f>IF($A37="","",kpi_master!E23&amp;"")</f>
        <v/>
      </c>
      <c r="F37" s="2">
        <f>IF($A37="","",kpi_master!H23&amp;"")</f>
        <v/>
      </c>
      <c r="G37" s="2">
        <f>IF($A37="","",kpi_master!N23)</f>
        <v/>
      </c>
      <c r="H37" s="2">
        <f>IF($A37="","",COUNTIFS(monthly_entries!$B:$B,$A37,monthly_entries!$C:$C,$C$3,monthly_entries!$G:$G,"&lt;&gt;not_started"))</f>
        <v/>
      </c>
      <c r="I37" s="2">
        <f>IF($A37="","",_xlfn.MAXIFS(monthly_entries!$E:$E,monthly_entries!$B:$B,$A37,monthly_entries!$C:$C,$C$3))</f>
        <v/>
      </c>
      <c r="J37" s="2">
        <f>IF(OR($A37="",$I37=0),"",INDEX(fiscal_months!$D:$D,MATCH($C$3&amp;"|"&amp;TEXT($I37,"00"),fiscal_months!$A:$A,0)))</f>
        <v/>
      </c>
      <c r="K37" s="2">
        <f>IF($A37="","",IF($I37=0,"not_started",INDEX(monthly_entries!$G:$G,MATCH($A37&amp;"__"&amp;$J37,monthly_entries!$A:$A,0))))</f>
        <v/>
      </c>
      <c r="L37" s="2">
        <f>IF($A37="","",INDEX(ref_status!$B:$B,MATCH($K37,ref_status!$A:$A,0)))</f>
        <v/>
      </c>
      <c r="M37" s="2">
        <f>IF(OR($A37="",$I37=0),"",INDEX(monthly_entries!$H:$H,MATCH($A37&amp;"__"&amp;$J37,monthly_entries!$A:$A,0))&amp;"")</f>
        <v/>
      </c>
      <c r="N37" s="2">
        <f>IF($A37="","",IF($F37="count",SUMIFS(monthly_entries!$I:$I,monthly_entries!$B:$B,$A37,monthly_entries!$C:$C,$C$3),""))</f>
        <v/>
      </c>
      <c r="O37" s="2">
        <f>IF($A37="","",kpi_master!J23&amp;"")</f>
        <v/>
      </c>
      <c r="P37" s="2">
        <f>IF($A37="","",kpi_master!L23&amp;"")</f>
        <v/>
      </c>
      <c r="Q37" s="2">
        <f>IF(OR($A37="",$F37&lt;&gt;"count",$O37=""),"",IF($P37="lte",IF($N37&lt;=VALUE($O37),"ผ่าน","ไม่ผ่าน"),IF($N37&gt;=VALUE($O37),"ผ่าน","ยังไม่ถึงเป้า")))</f>
        <v/>
      </c>
    </row>
    <row r="38">
      <c r="A38" s="2">
        <f>IF(kpi_master!A24="","",kpi_master!A24)</f>
        <v/>
      </c>
      <c r="B38" s="2">
        <f>IF($A38="","",kpi_master!C24&amp;"")</f>
        <v/>
      </c>
      <c r="C38" s="2">
        <f>IF($A38="","",kpi_master!F24&amp;"")</f>
        <v/>
      </c>
      <c r="D38" s="2">
        <f>IF($A38="","",kpi_master!G24&amp;"")</f>
        <v/>
      </c>
      <c r="E38" s="2">
        <f>IF($A38="","",kpi_master!E24&amp;"")</f>
        <v/>
      </c>
      <c r="F38" s="2">
        <f>IF($A38="","",kpi_master!H24&amp;"")</f>
        <v/>
      </c>
      <c r="G38" s="2">
        <f>IF($A38="","",kpi_master!N24)</f>
        <v/>
      </c>
      <c r="H38" s="2">
        <f>IF($A38="","",COUNTIFS(monthly_entries!$B:$B,$A38,monthly_entries!$C:$C,$C$3,monthly_entries!$G:$G,"&lt;&gt;not_started"))</f>
        <v/>
      </c>
      <c r="I38" s="2">
        <f>IF($A38="","",_xlfn.MAXIFS(monthly_entries!$E:$E,monthly_entries!$B:$B,$A38,monthly_entries!$C:$C,$C$3))</f>
        <v/>
      </c>
      <c r="J38" s="2">
        <f>IF(OR($A38="",$I38=0),"",INDEX(fiscal_months!$D:$D,MATCH($C$3&amp;"|"&amp;TEXT($I38,"00"),fiscal_months!$A:$A,0)))</f>
        <v/>
      </c>
      <c r="K38" s="2">
        <f>IF($A38="","",IF($I38=0,"not_started",INDEX(monthly_entries!$G:$G,MATCH($A38&amp;"__"&amp;$J38,monthly_entries!$A:$A,0))))</f>
        <v/>
      </c>
      <c r="L38" s="2">
        <f>IF($A38="","",INDEX(ref_status!$B:$B,MATCH($K38,ref_status!$A:$A,0)))</f>
        <v/>
      </c>
      <c r="M38" s="2">
        <f>IF(OR($A38="",$I38=0),"",INDEX(monthly_entries!$H:$H,MATCH($A38&amp;"__"&amp;$J38,monthly_entries!$A:$A,0))&amp;"")</f>
        <v/>
      </c>
      <c r="N38" s="2">
        <f>IF($A38="","",IF($F38="count",SUMIFS(monthly_entries!$I:$I,monthly_entries!$B:$B,$A38,monthly_entries!$C:$C,$C$3),""))</f>
        <v/>
      </c>
      <c r="O38" s="2">
        <f>IF($A38="","",kpi_master!J24&amp;"")</f>
        <v/>
      </c>
      <c r="P38" s="2">
        <f>IF($A38="","",kpi_master!L24&amp;"")</f>
        <v/>
      </c>
      <c r="Q38" s="2">
        <f>IF(OR($A38="",$F38&lt;&gt;"count",$O38=""),"",IF($P38="lte",IF($N38&lt;=VALUE($O38),"ผ่าน","ไม่ผ่าน"),IF($N38&gt;=VALUE($O38),"ผ่าน","ยังไม่ถึงเป้า")))</f>
        <v/>
      </c>
    </row>
    <row r="39">
      <c r="A39" s="2">
        <f>IF(kpi_master!A25="","",kpi_master!A25)</f>
        <v/>
      </c>
      <c r="B39" s="2">
        <f>IF($A39="","",kpi_master!C25&amp;"")</f>
        <v/>
      </c>
      <c r="C39" s="2">
        <f>IF($A39="","",kpi_master!F25&amp;"")</f>
        <v/>
      </c>
      <c r="D39" s="2">
        <f>IF($A39="","",kpi_master!G25&amp;"")</f>
        <v/>
      </c>
      <c r="E39" s="2">
        <f>IF($A39="","",kpi_master!E25&amp;"")</f>
        <v/>
      </c>
      <c r="F39" s="2">
        <f>IF($A39="","",kpi_master!H25&amp;"")</f>
        <v/>
      </c>
      <c r="G39" s="2">
        <f>IF($A39="","",kpi_master!N25)</f>
        <v/>
      </c>
      <c r="H39" s="2">
        <f>IF($A39="","",COUNTIFS(monthly_entries!$B:$B,$A39,monthly_entries!$C:$C,$C$3,monthly_entries!$G:$G,"&lt;&gt;not_started"))</f>
        <v/>
      </c>
      <c r="I39" s="2">
        <f>IF($A39="","",_xlfn.MAXIFS(monthly_entries!$E:$E,monthly_entries!$B:$B,$A39,monthly_entries!$C:$C,$C$3))</f>
        <v/>
      </c>
      <c r="J39" s="2">
        <f>IF(OR($A39="",$I39=0),"",INDEX(fiscal_months!$D:$D,MATCH($C$3&amp;"|"&amp;TEXT($I39,"00"),fiscal_months!$A:$A,0)))</f>
        <v/>
      </c>
      <c r="K39" s="2">
        <f>IF($A39="","",IF($I39=0,"not_started",INDEX(monthly_entries!$G:$G,MATCH($A39&amp;"__"&amp;$J39,monthly_entries!$A:$A,0))))</f>
        <v/>
      </c>
      <c r="L39" s="2">
        <f>IF($A39="","",INDEX(ref_status!$B:$B,MATCH($K39,ref_status!$A:$A,0)))</f>
        <v/>
      </c>
      <c r="M39" s="2">
        <f>IF(OR($A39="",$I39=0),"",INDEX(monthly_entries!$H:$H,MATCH($A39&amp;"__"&amp;$J39,monthly_entries!$A:$A,0))&amp;"")</f>
        <v/>
      </c>
      <c r="N39" s="2">
        <f>IF($A39="","",IF($F39="count",SUMIFS(monthly_entries!$I:$I,monthly_entries!$B:$B,$A39,monthly_entries!$C:$C,$C$3),""))</f>
        <v/>
      </c>
      <c r="O39" s="2">
        <f>IF($A39="","",kpi_master!J25&amp;"")</f>
        <v/>
      </c>
      <c r="P39" s="2">
        <f>IF($A39="","",kpi_master!L25&amp;"")</f>
        <v/>
      </c>
      <c r="Q39" s="2">
        <f>IF(OR($A39="",$F39&lt;&gt;"count",$O39=""),"",IF($P39="lte",IF($N39&lt;=VALUE($O39),"ผ่าน","ไม่ผ่าน"),IF($N39&gt;=VALUE($O39),"ผ่าน","ยังไม่ถึงเป้า")))</f>
        <v/>
      </c>
    </row>
    <row r="40">
      <c r="A40" s="2">
        <f>IF(kpi_master!A26="","",kpi_master!A26)</f>
        <v/>
      </c>
      <c r="B40" s="2">
        <f>IF($A40="","",kpi_master!C26&amp;"")</f>
        <v/>
      </c>
      <c r="C40" s="2">
        <f>IF($A40="","",kpi_master!F26&amp;"")</f>
        <v/>
      </c>
      <c r="D40" s="2">
        <f>IF($A40="","",kpi_master!G26&amp;"")</f>
        <v/>
      </c>
      <c r="E40" s="2">
        <f>IF($A40="","",kpi_master!E26&amp;"")</f>
        <v/>
      </c>
      <c r="F40" s="2">
        <f>IF($A40="","",kpi_master!H26&amp;"")</f>
        <v/>
      </c>
      <c r="G40" s="2">
        <f>IF($A40="","",kpi_master!N26)</f>
        <v/>
      </c>
      <c r="H40" s="2">
        <f>IF($A40="","",COUNTIFS(monthly_entries!$B:$B,$A40,monthly_entries!$C:$C,$C$3,monthly_entries!$G:$G,"&lt;&gt;not_started"))</f>
        <v/>
      </c>
      <c r="I40" s="2">
        <f>IF($A40="","",_xlfn.MAXIFS(monthly_entries!$E:$E,monthly_entries!$B:$B,$A40,monthly_entries!$C:$C,$C$3))</f>
        <v/>
      </c>
      <c r="J40" s="2">
        <f>IF(OR($A40="",$I40=0),"",INDEX(fiscal_months!$D:$D,MATCH($C$3&amp;"|"&amp;TEXT($I40,"00"),fiscal_months!$A:$A,0)))</f>
        <v/>
      </c>
      <c r="K40" s="2">
        <f>IF($A40="","",IF($I40=0,"not_started",INDEX(monthly_entries!$G:$G,MATCH($A40&amp;"__"&amp;$J40,monthly_entries!$A:$A,0))))</f>
        <v/>
      </c>
      <c r="L40" s="2">
        <f>IF($A40="","",INDEX(ref_status!$B:$B,MATCH($K40,ref_status!$A:$A,0)))</f>
        <v/>
      </c>
      <c r="M40" s="2">
        <f>IF(OR($A40="",$I40=0),"",INDEX(monthly_entries!$H:$H,MATCH($A40&amp;"__"&amp;$J40,monthly_entries!$A:$A,0))&amp;"")</f>
        <v/>
      </c>
      <c r="N40" s="2">
        <f>IF($A40="","",IF($F40="count",SUMIFS(monthly_entries!$I:$I,monthly_entries!$B:$B,$A40,monthly_entries!$C:$C,$C$3),""))</f>
        <v/>
      </c>
      <c r="O40" s="2">
        <f>IF($A40="","",kpi_master!J26&amp;"")</f>
        <v/>
      </c>
      <c r="P40" s="2">
        <f>IF($A40="","",kpi_master!L26&amp;"")</f>
        <v/>
      </c>
      <c r="Q40" s="2">
        <f>IF(OR($A40="",$F40&lt;&gt;"count",$O40=""),"",IF($P40="lte",IF($N40&lt;=VALUE($O40),"ผ่าน","ไม่ผ่าน"),IF($N40&gt;=VALUE($O40),"ผ่าน","ยังไม่ถึงเป้า")))</f>
        <v/>
      </c>
    </row>
    <row r="41">
      <c r="A41" s="2">
        <f>IF(kpi_master!A27="","",kpi_master!A27)</f>
        <v/>
      </c>
      <c r="B41" s="2">
        <f>IF($A41="","",kpi_master!C27&amp;"")</f>
        <v/>
      </c>
      <c r="C41" s="2">
        <f>IF($A41="","",kpi_master!F27&amp;"")</f>
        <v/>
      </c>
      <c r="D41" s="2">
        <f>IF($A41="","",kpi_master!G27&amp;"")</f>
        <v/>
      </c>
      <c r="E41" s="2">
        <f>IF($A41="","",kpi_master!E27&amp;"")</f>
        <v/>
      </c>
      <c r="F41" s="2">
        <f>IF($A41="","",kpi_master!H27&amp;"")</f>
        <v/>
      </c>
      <c r="G41" s="2">
        <f>IF($A41="","",kpi_master!N27)</f>
        <v/>
      </c>
      <c r="H41" s="2">
        <f>IF($A41="","",COUNTIFS(monthly_entries!$B:$B,$A41,monthly_entries!$C:$C,$C$3,monthly_entries!$G:$G,"&lt;&gt;not_started"))</f>
        <v/>
      </c>
      <c r="I41" s="2">
        <f>IF($A41="","",_xlfn.MAXIFS(monthly_entries!$E:$E,monthly_entries!$B:$B,$A41,monthly_entries!$C:$C,$C$3))</f>
        <v/>
      </c>
      <c r="J41" s="2">
        <f>IF(OR($A41="",$I41=0),"",INDEX(fiscal_months!$D:$D,MATCH($C$3&amp;"|"&amp;TEXT($I41,"00"),fiscal_months!$A:$A,0)))</f>
        <v/>
      </c>
      <c r="K41" s="2">
        <f>IF($A41="","",IF($I41=0,"not_started",INDEX(monthly_entries!$G:$G,MATCH($A41&amp;"__"&amp;$J41,monthly_entries!$A:$A,0))))</f>
        <v/>
      </c>
      <c r="L41" s="2">
        <f>IF($A41="","",INDEX(ref_status!$B:$B,MATCH($K41,ref_status!$A:$A,0)))</f>
        <v/>
      </c>
      <c r="M41" s="2">
        <f>IF(OR($A41="",$I41=0),"",INDEX(monthly_entries!$H:$H,MATCH($A41&amp;"__"&amp;$J41,monthly_entries!$A:$A,0))&amp;"")</f>
        <v/>
      </c>
      <c r="N41" s="2">
        <f>IF($A41="","",IF($F41="count",SUMIFS(monthly_entries!$I:$I,monthly_entries!$B:$B,$A41,monthly_entries!$C:$C,$C$3),""))</f>
        <v/>
      </c>
      <c r="O41" s="2">
        <f>IF($A41="","",kpi_master!J27&amp;"")</f>
        <v/>
      </c>
      <c r="P41" s="2">
        <f>IF($A41="","",kpi_master!L27&amp;"")</f>
        <v/>
      </c>
      <c r="Q41" s="2">
        <f>IF(OR($A41="",$F41&lt;&gt;"count",$O41=""),"",IF($P41="lte",IF($N41&lt;=VALUE($O41),"ผ่าน","ไม่ผ่าน"),IF($N41&gt;=VALUE($O41),"ผ่าน","ยังไม่ถึงเป้า")))</f>
        <v/>
      </c>
    </row>
    <row r="42">
      <c r="A42" s="2">
        <f>IF(kpi_master!A28="","",kpi_master!A28)</f>
        <v/>
      </c>
      <c r="B42" s="2">
        <f>IF($A42="","",kpi_master!C28&amp;"")</f>
        <v/>
      </c>
      <c r="C42" s="2">
        <f>IF($A42="","",kpi_master!F28&amp;"")</f>
        <v/>
      </c>
      <c r="D42" s="2">
        <f>IF($A42="","",kpi_master!G28&amp;"")</f>
        <v/>
      </c>
      <c r="E42" s="2">
        <f>IF($A42="","",kpi_master!E28&amp;"")</f>
        <v/>
      </c>
      <c r="F42" s="2">
        <f>IF($A42="","",kpi_master!H28&amp;"")</f>
        <v/>
      </c>
      <c r="G42" s="2">
        <f>IF($A42="","",kpi_master!N28)</f>
        <v/>
      </c>
      <c r="H42" s="2">
        <f>IF($A42="","",COUNTIFS(monthly_entries!$B:$B,$A42,monthly_entries!$C:$C,$C$3,monthly_entries!$G:$G,"&lt;&gt;not_started"))</f>
        <v/>
      </c>
      <c r="I42" s="2">
        <f>IF($A42="","",_xlfn.MAXIFS(monthly_entries!$E:$E,monthly_entries!$B:$B,$A42,monthly_entries!$C:$C,$C$3))</f>
        <v/>
      </c>
      <c r="J42" s="2">
        <f>IF(OR($A42="",$I42=0),"",INDEX(fiscal_months!$D:$D,MATCH($C$3&amp;"|"&amp;TEXT($I42,"00"),fiscal_months!$A:$A,0)))</f>
        <v/>
      </c>
      <c r="K42" s="2">
        <f>IF($A42="","",IF($I42=0,"not_started",INDEX(monthly_entries!$G:$G,MATCH($A42&amp;"__"&amp;$J42,monthly_entries!$A:$A,0))))</f>
        <v/>
      </c>
      <c r="L42" s="2">
        <f>IF($A42="","",INDEX(ref_status!$B:$B,MATCH($K42,ref_status!$A:$A,0)))</f>
        <v/>
      </c>
      <c r="M42" s="2">
        <f>IF(OR($A42="",$I42=0),"",INDEX(monthly_entries!$H:$H,MATCH($A42&amp;"__"&amp;$J42,monthly_entries!$A:$A,0))&amp;"")</f>
        <v/>
      </c>
      <c r="N42" s="2">
        <f>IF($A42="","",IF($F42="count",SUMIFS(monthly_entries!$I:$I,monthly_entries!$B:$B,$A42,monthly_entries!$C:$C,$C$3),""))</f>
        <v/>
      </c>
      <c r="O42" s="2">
        <f>IF($A42="","",kpi_master!J28&amp;"")</f>
        <v/>
      </c>
      <c r="P42" s="2">
        <f>IF($A42="","",kpi_master!L28&amp;"")</f>
        <v/>
      </c>
      <c r="Q42" s="2">
        <f>IF(OR($A42="",$F42&lt;&gt;"count",$O42=""),"",IF($P42="lte",IF($N42&lt;=VALUE($O42),"ผ่าน","ไม่ผ่าน"),IF($N42&gt;=VALUE($O42),"ผ่าน","ยังไม่ถึงเป้า")))</f>
        <v/>
      </c>
    </row>
    <row r="43">
      <c r="A43" s="2">
        <f>IF(kpi_master!A29="","",kpi_master!A29)</f>
        <v/>
      </c>
      <c r="B43" s="2">
        <f>IF($A43="","",kpi_master!C29&amp;"")</f>
        <v/>
      </c>
      <c r="C43" s="2">
        <f>IF($A43="","",kpi_master!F29&amp;"")</f>
        <v/>
      </c>
      <c r="D43" s="2">
        <f>IF($A43="","",kpi_master!G29&amp;"")</f>
        <v/>
      </c>
      <c r="E43" s="2">
        <f>IF($A43="","",kpi_master!E29&amp;"")</f>
        <v/>
      </c>
      <c r="F43" s="2">
        <f>IF($A43="","",kpi_master!H29&amp;"")</f>
        <v/>
      </c>
      <c r="G43" s="2">
        <f>IF($A43="","",kpi_master!N29)</f>
        <v/>
      </c>
      <c r="H43" s="2">
        <f>IF($A43="","",COUNTIFS(monthly_entries!$B:$B,$A43,monthly_entries!$C:$C,$C$3,monthly_entries!$G:$G,"&lt;&gt;not_started"))</f>
        <v/>
      </c>
      <c r="I43" s="2">
        <f>IF($A43="","",_xlfn.MAXIFS(monthly_entries!$E:$E,monthly_entries!$B:$B,$A43,monthly_entries!$C:$C,$C$3))</f>
        <v/>
      </c>
      <c r="J43" s="2">
        <f>IF(OR($A43="",$I43=0),"",INDEX(fiscal_months!$D:$D,MATCH($C$3&amp;"|"&amp;TEXT($I43,"00"),fiscal_months!$A:$A,0)))</f>
        <v/>
      </c>
      <c r="K43" s="2">
        <f>IF($A43="","",IF($I43=0,"not_started",INDEX(monthly_entries!$G:$G,MATCH($A43&amp;"__"&amp;$J43,monthly_entries!$A:$A,0))))</f>
        <v/>
      </c>
      <c r="L43" s="2">
        <f>IF($A43="","",INDEX(ref_status!$B:$B,MATCH($K43,ref_status!$A:$A,0)))</f>
        <v/>
      </c>
      <c r="M43" s="2">
        <f>IF(OR($A43="",$I43=0),"",INDEX(monthly_entries!$H:$H,MATCH($A43&amp;"__"&amp;$J43,monthly_entries!$A:$A,0))&amp;"")</f>
        <v/>
      </c>
      <c r="N43" s="2">
        <f>IF($A43="","",IF($F43="count",SUMIFS(monthly_entries!$I:$I,monthly_entries!$B:$B,$A43,monthly_entries!$C:$C,$C$3),""))</f>
        <v/>
      </c>
      <c r="O43" s="2">
        <f>IF($A43="","",kpi_master!J29&amp;"")</f>
        <v/>
      </c>
      <c r="P43" s="2">
        <f>IF($A43="","",kpi_master!L29&amp;"")</f>
        <v/>
      </c>
      <c r="Q43" s="2">
        <f>IF(OR($A43="",$F43&lt;&gt;"count",$O43=""),"",IF($P43="lte",IF($N43&lt;=VALUE($O43),"ผ่าน","ไม่ผ่าน"),IF($N43&gt;=VALUE($O43),"ผ่าน","ยังไม่ถึงเป้า")))</f>
        <v/>
      </c>
    </row>
    <row r="44">
      <c r="A44" s="2">
        <f>IF(kpi_master!A30="","",kpi_master!A30)</f>
        <v/>
      </c>
      <c r="B44" s="2">
        <f>IF($A44="","",kpi_master!C30&amp;"")</f>
        <v/>
      </c>
      <c r="C44" s="2">
        <f>IF($A44="","",kpi_master!F30&amp;"")</f>
        <v/>
      </c>
      <c r="D44" s="2">
        <f>IF($A44="","",kpi_master!G30&amp;"")</f>
        <v/>
      </c>
      <c r="E44" s="2">
        <f>IF($A44="","",kpi_master!E30&amp;"")</f>
        <v/>
      </c>
      <c r="F44" s="2">
        <f>IF($A44="","",kpi_master!H30&amp;"")</f>
        <v/>
      </c>
      <c r="G44" s="2">
        <f>IF($A44="","",kpi_master!N30)</f>
        <v/>
      </c>
      <c r="H44" s="2">
        <f>IF($A44="","",COUNTIFS(monthly_entries!$B:$B,$A44,monthly_entries!$C:$C,$C$3,monthly_entries!$G:$G,"&lt;&gt;not_started"))</f>
        <v/>
      </c>
      <c r="I44" s="2">
        <f>IF($A44="","",_xlfn.MAXIFS(monthly_entries!$E:$E,monthly_entries!$B:$B,$A44,monthly_entries!$C:$C,$C$3))</f>
        <v/>
      </c>
      <c r="J44" s="2">
        <f>IF(OR($A44="",$I44=0),"",INDEX(fiscal_months!$D:$D,MATCH($C$3&amp;"|"&amp;TEXT($I44,"00"),fiscal_months!$A:$A,0)))</f>
        <v/>
      </c>
      <c r="K44" s="2">
        <f>IF($A44="","",IF($I44=0,"not_started",INDEX(monthly_entries!$G:$G,MATCH($A44&amp;"__"&amp;$J44,monthly_entries!$A:$A,0))))</f>
        <v/>
      </c>
      <c r="L44" s="2">
        <f>IF($A44="","",INDEX(ref_status!$B:$B,MATCH($K44,ref_status!$A:$A,0)))</f>
        <v/>
      </c>
      <c r="M44" s="2">
        <f>IF(OR($A44="",$I44=0),"",INDEX(monthly_entries!$H:$H,MATCH($A44&amp;"__"&amp;$J44,monthly_entries!$A:$A,0))&amp;"")</f>
        <v/>
      </c>
      <c r="N44" s="2">
        <f>IF($A44="","",IF($F44="count",SUMIFS(monthly_entries!$I:$I,monthly_entries!$B:$B,$A44,monthly_entries!$C:$C,$C$3),""))</f>
        <v/>
      </c>
      <c r="O44" s="2">
        <f>IF($A44="","",kpi_master!J30&amp;"")</f>
        <v/>
      </c>
      <c r="P44" s="2">
        <f>IF($A44="","",kpi_master!L30&amp;"")</f>
        <v/>
      </c>
      <c r="Q44" s="2">
        <f>IF(OR($A44="",$F44&lt;&gt;"count",$O44=""),"",IF($P44="lte",IF($N44&lt;=VALUE($O44),"ผ่าน","ไม่ผ่าน"),IF($N44&gt;=VALUE($O44),"ผ่าน","ยังไม่ถึงเป้า")))</f>
        <v/>
      </c>
    </row>
    <row r="45">
      <c r="A45" s="2">
        <f>IF(kpi_master!A31="","",kpi_master!A31)</f>
        <v/>
      </c>
      <c r="B45" s="2">
        <f>IF($A45="","",kpi_master!C31&amp;"")</f>
        <v/>
      </c>
      <c r="C45" s="2">
        <f>IF($A45="","",kpi_master!F31&amp;"")</f>
        <v/>
      </c>
      <c r="D45" s="2">
        <f>IF($A45="","",kpi_master!G31&amp;"")</f>
        <v/>
      </c>
      <c r="E45" s="2">
        <f>IF($A45="","",kpi_master!E31&amp;"")</f>
        <v/>
      </c>
      <c r="F45" s="2">
        <f>IF($A45="","",kpi_master!H31&amp;"")</f>
        <v/>
      </c>
      <c r="G45" s="2">
        <f>IF($A45="","",kpi_master!N31)</f>
        <v/>
      </c>
      <c r="H45" s="2">
        <f>IF($A45="","",COUNTIFS(monthly_entries!$B:$B,$A45,monthly_entries!$C:$C,$C$3,monthly_entries!$G:$G,"&lt;&gt;not_started"))</f>
        <v/>
      </c>
      <c r="I45" s="2">
        <f>IF($A45="","",_xlfn.MAXIFS(monthly_entries!$E:$E,monthly_entries!$B:$B,$A45,monthly_entries!$C:$C,$C$3))</f>
        <v/>
      </c>
      <c r="J45" s="2">
        <f>IF(OR($A45="",$I45=0),"",INDEX(fiscal_months!$D:$D,MATCH($C$3&amp;"|"&amp;TEXT($I45,"00"),fiscal_months!$A:$A,0)))</f>
        <v/>
      </c>
      <c r="K45" s="2">
        <f>IF($A45="","",IF($I45=0,"not_started",INDEX(monthly_entries!$G:$G,MATCH($A45&amp;"__"&amp;$J45,monthly_entries!$A:$A,0))))</f>
        <v/>
      </c>
      <c r="L45" s="2">
        <f>IF($A45="","",INDEX(ref_status!$B:$B,MATCH($K45,ref_status!$A:$A,0)))</f>
        <v/>
      </c>
      <c r="M45" s="2">
        <f>IF(OR($A45="",$I45=0),"",INDEX(monthly_entries!$H:$H,MATCH($A45&amp;"__"&amp;$J45,monthly_entries!$A:$A,0))&amp;"")</f>
        <v/>
      </c>
      <c r="N45" s="2">
        <f>IF($A45="","",IF($F45="count",SUMIFS(monthly_entries!$I:$I,monthly_entries!$B:$B,$A45,monthly_entries!$C:$C,$C$3),""))</f>
        <v/>
      </c>
      <c r="O45" s="2">
        <f>IF($A45="","",kpi_master!J31&amp;"")</f>
        <v/>
      </c>
      <c r="P45" s="2">
        <f>IF($A45="","",kpi_master!L31&amp;"")</f>
        <v/>
      </c>
      <c r="Q45" s="2">
        <f>IF(OR($A45="",$F45&lt;&gt;"count",$O45=""),"",IF($P45="lte",IF($N45&lt;=VALUE($O45),"ผ่าน","ไม่ผ่าน"),IF($N45&gt;=VALUE($O45),"ผ่าน","ยังไม่ถึงเป้า")))</f>
        <v/>
      </c>
    </row>
    <row r="46">
      <c r="A46" s="2">
        <f>IF(kpi_master!A32="","",kpi_master!A32)</f>
        <v/>
      </c>
      <c r="B46" s="2">
        <f>IF($A46="","",kpi_master!C32&amp;"")</f>
        <v/>
      </c>
      <c r="C46" s="2">
        <f>IF($A46="","",kpi_master!F32&amp;"")</f>
        <v/>
      </c>
      <c r="D46" s="2">
        <f>IF($A46="","",kpi_master!G32&amp;"")</f>
        <v/>
      </c>
      <c r="E46" s="2">
        <f>IF($A46="","",kpi_master!E32&amp;"")</f>
        <v/>
      </c>
      <c r="F46" s="2">
        <f>IF($A46="","",kpi_master!H32&amp;"")</f>
        <v/>
      </c>
      <c r="G46" s="2">
        <f>IF($A46="","",kpi_master!N32)</f>
        <v/>
      </c>
      <c r="H46" s="2">
        <f>IF($A46="","",COUNTIFS(monthly_entries!$B:$B,$A46,monthly_entries!$C:$C,$C$3,monthly_entries!$G:$G,"&lt;&gt;not_started"))</f>
        <v/>
      </c>
      <c r="I46" s="2">
        <f>IF($A46="","",_xlfn.MAXIFS(monthly_entries!$E:$E,monthly_entries!$B:$B,$A46,monthly_entries!$C:$C,$C$3))</f>
        <v/>
      </c>
      <c r="J46" s="2">
        <f>IF(OR($A46="",$I46=0),"",INDEX(fiscal_months!$D:$D,MATCH($C$3&amp;"|"&amp;TEXT($I46,"00"),fiscal_months!$A:$A,0)))</f>
        <v/>
      </c>
      <c r="K46" s="2">
        <f>IF($A46="","",IF($I46=0,"not_started",INDEX(monthly_entries!$G:$G,MATCH($A46&amp;"__"&amp;$J46,monthly_entries!$A:$A,0))))</f>
        <v/>
      </c>
      <c r="L46" s="2">
        <f>IF($A46="","",INDEX(ref_status!$B:$B,MATCH($K46,ref_status!$A:$A,0)))</f>
        <v/>
      </c>
      <c r="M46" s="2">
        <f>IF(OR($A46="",$I46=0),"",INDEX(monthly_entries!$H:$H,MATCH($A46&amp;"__"&amp;$J46,monthly_entries!$A:$A,0))&amp;"")</f>
        <v/>
      </c>
      <c r="N46" s="2">
        <f>IF($A46="","",IF($F46="count",SUMIFS(monthly_entries!$I:$I,monthly_entries!$B:$B,$A46,monthly_entries!$C:$C,$C$3),""))</f>
        <v/>
      </c>
      <c r="O46" s="2">
        <f>IF($A46="","",kpi_master!J32&amp;"")</f>
        <v/>
      </c>
      <c r="P46" s="2">
        <f>IF($A46="","",kpi_master!L32&amp;"")</f>
        <v/>
      </c>
      <c r="Q46" s="2">
        <f>IF(OR($A46="",$F46&lt;&gt;"count",$O46=""),"",IF($P46="lte",IF($N46&lt;=VALUE($O46),"ผ่าน","ไม่ผ่าน"),IF($N46&gt;=VALUE($O46),"ผ่าน","ยังไม่ถึงเป้า")))</f>
        <v/>
      </c>
    </row>
    <row r="47">
      <c r="A47" s="2">
        <f>IF(kpi_master!A33="","",kpi_master!A33)</f>
        <v/>
      </c>
      <c r="B47" s="2">
        <f>IF($A47="","",kpi_master!C33&amp;"")</f>
        <v/>
      </c>
      <c r="C47" s="2">
        <f>IF($A47="","",kpi_master!F33&amp;"")</f>
        <v/>
      </c>
      <c r="D47" s="2">
        <f>IF($A47="","",kpi_master!G33&amp;"")</f>
        <v/>
      </c>
      <c r="E47" s="2">
        <f>IF($A47="","",kpi_master!E33&amp;"")</f>
        <v/>
      </c>
      <c r="F47" s="2">
        <f>IF($A47="","",kpi_master!H33&amp;"")</f>
        <v/>
      </c>
      <c r="G47" s="2">
        <f>IF($A47="","",kpi_master!N33)</f>
        <v/>
      </c>
      <c r="H47" s="2">
        <f>IF($A47="","",COUNTIFS(monthly_entries!$B:$B,$A47,monthly_entries!$C:$C,$C$3,monthly_entries!$G:$G,"&lt;&gt;not_started"))</f>
        <v/>
      </c>
      <c r="I47" s="2">
        <f>IF($A47="","",_xlfn.MAXIFS(monthly_entries!$E:$E,monthly_entries!$B:$B,$A47,monthly_entries!$C:$C,$C$3))</f>
        <v/>
      </c>
      <c r="J47" s="2">
        <f>IF(OR($A47="",$I47=0),"",INDEX(fiscal_months!$D:$D,MATCH($C$3&amp;"|"&amp;TEXT($I47,"00"),fiscal_months!$A:$A,0)))</f>
        <v/>
      </c>
      <c r="K47" s="2">
        <f>IF($A47="","",IF($I47=0,"not_started",INDEX(monthly_entries!$G:$G,MATCH($A47&amp;"__"&amp;$J47,monthly_entries!$A:$A,0))))</f>
        <v/>
      </c>
      <c r="L47" s="2">
        <f>IF($A47="","",INDEX(ref_status!$B:$B,MATCH($K47,ref_status!$A:$A,0)))</f>
        <v/>
      </c>
      <c r="M47" s="2">
        <f>IF(OR($A47="",$I47=0),"",INDEX(monthly_entries!$H:$H,MATCH($A47&amp;"__"&amp;$J47,monthly_entries!$A:$A,0))&amp;"")</f>
        <v/>
      </c>
      <c r="N47" s="2">
        <f>IF($A47="","",IF($F47="count",SUMIFS(monthly_entries!$I:$I,monthly_entries!$B:$B,$A47,monthly_entries!$C:$C,$C$3),""))</f>
        <v/>
      </c>
      <c r="O47" s="2">
        <f>IF($A47="","",kpi_master!J33&amp;"")</f>
        <v/>
      </c>
      <c r="P47" s="2">
        <f>IF($A47="","",kpi_master!L33&amp;"")</f>
        <v/>
      </c>
      <c r="Q47" s="2">
        <f>IF(OR($A47="",$F47&lt;&gt;"count",$O47=""),"",IF($P47="lte",IF($N47&lt;=VALUE($O47),"ผ่าน","ไม่ผ่าน"),IF($N47&gt;=VALUE($O47),"ผ่าน","ยังไม่ถึงเป้า")))</f>
        <v/>
      </c>
    </row>
    <row r="48">
      <c r="A48" s="2">
        <f>IF(kpi_master!A34="","",kpi_master!A34)</f>
        <v/>
      </c>
      <c r="B48" s="2">
        <f>IF($A48="","",kpi_master!C34&amp;"")</f>
        <v/>
      </c>
      <c r="C48" s="2">
        <f>IF($A48="","",kpi_master!F34&amp;"")</f>
        <v/>
      </c>
      <c r="D48" s="2">
        <f>IF($A48="","",kpi_master!G34&amp;"")</f>
        <v/>
      </c>
      <c r="E48" s="2">
        <f>IF($A48="","",kpi_master!E34&amp;"")</f>
        <v/>
      </c>
      <c r="F48" s="2">
        <f>IF($A48="","",kpi_master!H34&amp;"")</f>
        <v/>
      </c>
      <c r="G48" s="2">
        <f>IF($A48="","",kpi_master!N34)</f>
        <v/>
      </c>
      <c r="H48" s="2">
        <f>IF($A48="","",COUNTIFS(monthly_entries!$B:$B,$A48,monthly_entries!$C:$C,$C$3,monthly_entries!$G:$G,"&lt;&gt;not_started"))</f>
        <v/>
      </c>
      <c r="I48" s="2">
        <f>IF($A48="","",_xlfn.MAXIFS(monthly_entries!$E:$E,monthly_entries!$B:$B,$A48,monthly_entries!$C:$C,$C$3))</f>
        <v/>
      </c>
      <c r="J48" s="2">
        <f>IF(OR($A48="",$I48=0),"",INDEX(fiscal_months!$D:$D,MATCH($C$3&amp;"|"&amp;TEXT($I48,"00"),fiscal_months!$A:$A,0)))</f>
        <v/>
      </c>
      <c r="K48" s="2">
        <f>IF($A48="","",IF($I48=0,"not_started",INDEX(monthly_entries!$G:$G,MATCH($A48&amp;"__"&amp;$J48,monthly_entries!$A:$A,0))))</f>
        <v/>
      </c>
      <c r="L48" s="2">
        <f>IF($A48="","",INDEX(ref_status!$B:$B,MATCH($K48,ref_status!$A:$A,0)))</f>
        <v/>
      </c>
      <c r="M48" s="2">
        <f>IF(OR($A48="",$I48=0),"",INDEX(monthly_entries!$H:$H,MATCH($A48&amp;"__"&amp;$J48,monthly_entries!$A:$A,0))&amp;"")</f>
        <v/>
      </c>
      <c r="N48" s="2">
        <f>IF($A48="","",IF($F48="count",SUMIFS(monthly_entries!$I:$I,monthly_entries!$B:$B,$A48,monthly_entries!$C:$C,$C$3),""))</f>
        <v/>
      </c>
      <c r="O48" s="2">
        <f>IF($A48="","",kpi_master!J34&amp;"")</f>
        <v/>
      </c>
      <c r="P48" s="2">
        <f>IF($A48="","",kpi_master!L34&amp;"")</f>
        <v/>
      </c>
      <c r="Q48" s="2">
        <f>IF(OR($A48="",$F48&lt;&gt;"count",$O48=""),"",IF($P48="lte",IF($N48&lt;=VALUE($O48),"ผ่าน","ไม่ผ่าน"),IF($N48&gt;=VALUE($O48),"ผ่าน","ยังไม่ถึงเป้า")))</f>
        <v/>
      </c>
    </row>
    <row r="49">
      <c r="A49" s="2">
        <f>IF(kpi_master!A35="","",kpi_master!A35)</f>
        <v/>
      </c>
      <c r="B49" s="2">
        <f>IF($A49="","",kpi_master!C35&amp;"")</f>
        <v/>
      </c>
      <c r="C49" s="2">
        <f>IF($A49="","",kpi_master!F35&amp;"")</f>
        <v/>
      </c>
      <c r="D49" s="2">
        <f>IF($A49="","",kpi_master!G35&amp;"")</f>
        <v/>
      </c>
      <c r="E49" s="2">
        <f>IF($A49="","",kpi_master!E35&amp;"")</f>
        <v/>
      </c>
      <c r="F49" s="2">
        <f>IF($A49="","",kpi_master!H35&amp;"")</f>
        <v/>
      </c>
      <c r="G49" s="2">
        <f>IF($A49="","",kpi_master!N35)</f>
        <v/>
      </c>
      <c r="H49" s="2">
        <f>IF($A49="","",COUNTIFS(monthly_entries!$B:$B,$A49,monthly_entries!$C:$C,$C$3,monthly_entries!$G:$G,"&lt;&gt;not_started"))</f>
        <v/>
      </c>
      <c r="I49" s="2">
        <f>IF($A49="","",_xlfn.MAXIFS(monthly_entries!$E:$E,monthly_entries!$B:$B,$A49,monthly_entries!$C:$C,$C$3))</f>
        <v/>
      </c>
      <c r="J49" s="2">
        <f>IF(OR($A49="",$I49=0),"",INDEX(fiscal_months!$D:$D,MATCH($C$3&amp;"|"&amp;TEXT($I49,"00"),fiscal_months!$A:$A,0)))</f>
        <v/>
      </c>
      <c r="K49" s="2">
        <f>IF($A49="","",IF($I49=0,"not_started",INDEX(monthly_entries!$G:$G,MATCH($A49&amp;"__"&amp;$J49,monthly_entries!$A:$A,0))))</f>
        <v/>
      </c>
      <c r="L49" s="2">
        <f>IF($A49="","",INDEX(ref_status!$B:$B,MATCH($K49,ref_status!$A:$A,0)))</f>
        <v/>
      </c>
      <c r="M49" s="2">
        <f>IF(OR($A49="",$I49=0),"",INDEX(monthly_entries!$H:$H,MATCH($A49&amp;"__"&amp;$J49,monthly_entries!$A:$A,0))&amp;"")</f>
        <v/>
      </c>
      <c r="N49" s="2">
        <f>IF($A49="","",IF($F49="count",SUMIFS(monthly_entries!$I:$I,monthly_entries!$B:$B,$A49,monthly_entries!$C:$C,$C$3),""))</f>
        <v/>
      </c>
      <c r="O49" s="2">
        <f>IF($A49="","",kpi_master!J35&amp;"")</f>
        <v/>
      </c>
      <c r="P49" s="2">
        <f>IF($A49="","",kpi_master!L35&amp;"")</f>
        <v/>
      </c>
      <c r="Q49" s="2">
        <f>IF(OR($A49="",$F49&lt;&gt;"count",$O49=""),"",IF($P49="lte",IF($N49&lt;=VALUE($O49),"ผ่าน","ไม่ผ่าน"),IF($N49&gt;=VALUE($O49),"ผ่าน","ยังไม่ถึงเป้า")))</f>
        <v/>
      </c>
    </row>
    <row r="50">
      <c r="A50" s="2">
        <f>IF(kpi_master!A36="","",kpi_master!A36)</f>
        <v/>
      </c>
      <c r="B50" s="2">
        <f>IF($A50="","",kpi_master!C36&amp;"")</f>
        <v/>
      </c>
      <c r="C50" s="2">
        <f>IF($A50="","",kpi_master!F36&amp;"")</f>
        <v/>
      </c>
      <c r="D50" s="2">
        <f>IF($A50="","",kpi_master!G36&amp;"")</f>
        <v/>
      </c>
      <c r="E50" s="2">
        <f>IF($A50="","",kpi_master!E36&amp;"")</f>
        <v/>
      </c>
      <c r="F50" s="2">
        <f>IF($A50="","",kpi_master!H36&amp;"")</f>
        <v/>
      </c>
      <c r="G50" s="2">
        <f>IF($A50="","",kpi_master!N36)</f>
        <v/>
      </c>
      <c r="H50" s="2">
        <f>IF($A50="","",COUNTIFS(monthly_entries!$B:$B,$A50,monthly_entries!$C:$C,$C$3,monthly_entries!$G:$G,"&lt;&gt;not_started"))</f>
        <v/>
      </c>
      <c r="I50" s="2">
        <f>IF($A50="","",_xlfn.MAXIFS(monthly_entries!$E:$E,monthly_entries!$B:$B,$A50,monthly_entries!$C:$C,$C$3))</f>
        <v/>
      </c>
      <c r="J50" s="2">
        <f>IF(OR($A50="",$I50=0),"",INDEX(fiscal_months!$D:$D,MATCH($C$3&amp;"|"&amp;TEXT($I50,"00"),fiscal_months!$A:$A,0)))</f>
        <v/>
      </c>
      <c r="K50" s="2">
        <f>IF($A50="","",IF($I50=0,"not_started",INDEX(monthly_entries!$G:$G,MATCH($A50&amp;"__"&amp;$J50,monthly_entries!$A:$A,0))))</f>
        <v/>
      </c>
      <c r="L50" s="2">
        <f>IF($A50="","",INDEX(ref_status!$B:$B,MATCH($K50,ref_status!$A:$A,0)))</f>
        <v/>
      </c>
      <c r="M50" s="2">
        <f>IF(OR($A50="",$I50=0),"",INDEX(monthly_entries!$H:$H,MATCH($A50&amp;"__"&amp;$J50,monthly_entries!$A:$A,0))&amp;"")</f>
        <v/>
      </c>
      <c r="N50" s="2">
        <f>IF($A50="","",IF($F50="count",SUMIFS(monthly_entries!$I:$I,monthly_entries!$B:$B,$A50,monthly_entries!$C:$C,$C$3),""))</f>
        <v/>
      </c>
      <c r="O50" s="2">
        <f>IF($A50="","",kpi_master!J36&amp;"")</f>
        <v/>
      </c>
      <c r="P50" s="2">
        <f>IF($A50="","",kpi_master!L36&amp;"")</f>
        <v/>
      </c>
      <c r="Q50" s="2">
        <f>IF(OR($A50="",$F50&lt;&gt;"count",$O50=""),"",IF($P50="lte",IF($N50&lt;=VALUE($O50),"ผ่าน","ไม่ผ่าน"),IF($N50&gt;=VALUE($O50),"ผ่าน","ยังไม่ถึงเป้า")))</f>
        <v/>
      </c>
    </row>
    <row r="51">
      <c r="A51" s="2">
        <f>IF(kpi_master!A37="","",kpi_master!A37)</f>
        <v/>
      </c>
      <c r="B51" s="2">
        <f>IF($A51="","",kpi_master!C37&amp;"")</f>
        <v/>
      </c>
      <c r="C51" s="2">
        <f>IF($A51="","",kpi_master!F37&amp;"")</f>
        <v/>
      </c>
      <c r="D51" s="2">
        <f>IF($A51="","",kpi_master!G37&amp;"")</f>
        <v/>
      </c>
      <c r="E51" s="2">
        <f>IF($A51="","",kpi_master!E37&amp;"")</f>
        <v/>
      </c>
      <c r="F51" s="2">
        <f>IF($A51="","",kpi_master!H37&amp;"")</f>
        <v/>
      </c>
      <c r="G51" s="2">
        <f>IF($A51="","",kpi_master!N37)</f>
        <v/>
      </c>
      <c r="H51" s="2">
        <f>IF($A51="","",COUNTIFS(monthly_entries!$B:$B,$A51,monthly_entries!$C:$C,$C$3,monthly_entries!$G:$G,"&lt;&gt;not_started"))</f>
        <v/>
      </c>
      <c r="I51" s="2">
        <f>IF($A51="","",_xlfn.MAXIFS(monthly_entries!$E:$E,monthly_entries!$B:$B,$A51,monthly_entries!$C:$C,$C$3))</f>
        <v/>
      </c>
      <c r="J51" s="2">
        <f>IF(OR($A51="",$I51=0),"",INDEX(fiscal_months!$D:$D,MATCH($C$3&amp;"|"&amp;TEXT($I51,"00"),fiscal_months!$A:$A,0)))</f>
        <v/>
      </c>
      <c r="K51" s="2">
        <f>IF($A51="","",IF($I51=0,"not_started",INDEX(monthly_entries!$G:$G,MATCH($A51&amp;"__"&amp;$J51,monthly_entries!$A:$A,0))))</f>
        <v/>
      </c>
      <c r="L51" s="2">
        <f>IF($A51="","",INDEX(ref_status!$B:$B,MATCH($K51,ref_status!$A:$A,0)))</f>
        <v/>
      </c>
      <c r="M51" s="2">
        <f>IF(OR($A51="",$I51=0),"",INDEX(monthly_entries!$H:$H,MATCH($A51&amp;"__"&amp;$J51,monthly_entries!$A:$A,0))&amp;"")</f>
        <v/>
      </c>
      <c r="N51" s="2">
        <f>IF($A51="","",IF($F51="count",SUMIFS(monthly_entries!$I:$I,monthly_entries!$B:$B,$A51,monthly_entries!$C:$C,$C$3),""))</f>
        <v/>
      </c>
      <c r="O51" s="2">
        <f>IF($A51="","",kpi_master!J37&amp;"")</f>
        <v/>
      </c>
      <c r="P51" s="2">
        <f>IF($A51="","",kpi_master!L37&amp;"")</f>
        <v/>
      </c>
      <c r="Q51" s="2">
        <f>IF(OR($A51="",$F51&lt;&gt;"count",$O51=""),"",IF($P51="lte",IF($N51&lt;=VALUE($O51),"ผ่าน","ไม่ผ่าน"),IF($N51&gt;=VALUE($O51),"ผ่าน","ยังไม่ถึงเป้า")))</f>
        <v/>
      </c>
    </row>
    <row r="52">
      <c r="A52" s="2">
        <f>IF(kpi_master!A38="","",kpi_master!A38)</f>
        <v/>
      </c>
      <c r="B52" s="2">
        <f>IF($A52="","",kpi_master!C38&amp;"")</f>
        <v/>
      </c>
      <c r="C52" s="2">
        <f>IF($A52="","",kpi_master!F38&amp;"")</f>
        <v/>
      </c>
      <c r="D52" s="2">
        <f>IF($A52="","",kpi_master!G38&amp;"")</f>
        <v/>
      </c>
      <c r="E52" s="2">
        <f>IF($A52="","",kpi_master!E38&amp;"")</f>
        <v/>
      </c>
      <c r="F52" s="2">
        <f>IF($A52="","",kpi_master!H38&amp;"")</f>
        <v/>
      </c>
      <c r="G52" s="2">
        <f>IF($A52="","",kpi_master!N38)</f>
        <v/>
      </c>
      <c r="H52" s="2">
        <f>IF($A52="","",COUNTIFS(monthly_entries!$B:$B,$A52,monthly_entries!$C:$C,$C$3,monthly_entries!$G:$G,"&lt;&gt;not_started"))</f>
        <v/>
      </c>
      <c r="I52" s="2">
        <f>IF($A52="","",_xlfn.MAXIFS(monthly_entries!$E:$E,monthly_entries!$B:$B,$A52,monthly_entries!$C:$C,$C$3))</f>
        <v/>
      </c>
      <c r="J52" s="2">
        <f>IF(OR($A52="",$I52=0),"",INDEX(fiscal_months!$D:$D,MATCH($C$3&amp;"|"&amp;TEXT($I52,"00"),fiscal_months!$A:$A,0)))</f>
        <v/>
      </c>
      <c r="K52" s="2">
        <f>IF($A52="","",IF($I52=0,"not_started",INDEX(monthly_entries!$G:$G,MATCH($A52&amp;"__"&amp;$J52,monthly_entries!$A:$A,0))))</f>
        <v/>
      </c>
      <c r="L52" s="2">
        <f>IF($A52="","",INDEX(ref_status!$B:$B,MATCH($K52,ref_status!$A:$A,0)))</f>
        <v/>
      </c>
      <c r="M52" s="2">
        <f>IF(OR($A52="",$I52=0),"",INDEX(monthly_entries!$H:$H,MATCH($A52&amp;"__"&amp;$J52,monthly_entries!$A:$A,0))&amp;"")</f>
        <v/>
      </c>
      <c r="N52" s="2">
        <f>IF($A52="","",IF($F52="count",SUMIFS(monthly_entries!$I:$I,monthly_entries!$B:$B,$A52,monthly_entries!$C:$C,$C$3),""))</f>
        <v/>
      </c>
      <c r="O52" s="2">
        <f>IF($A52="","",kpi_master!J38&amp;"")</f>
        <v/>
      </c>
      <c r="P52" s="2">
        <f>IF($A52="","",kpi_master!L38&amp;"")</f>
        <v/>
      </c>
      <c r="Q52" s="2">
        <f>IF(OR($A52="",$F52&lt;&gt;"count",$O52=""),"",IF($P52="lte",IF($N52&lt;=VALUE($O52),"ผ่าน","ไม่ผ่าน"),IF($N52&gt;=VALUE($O52),"ผ่าน","ยังไม่ถึงเป้า")))</f>
        <v/>
      </c>
    </row>
    <row r="53">
      <c r="A53" s="2">
        <f>IF(kpi_master!A39="","",kpi_master!A39)</f>
        <v/>
      </c>
      <c r="B53" s="2">
        <f>IF($A53="","",kpi_master!C39&amp;"")</f>
        <v/>
      </c>
      <c r="C53" s="2">
        <f>IF($A53="","",kpi_master!F39&amp;"")</f>
        <v/>
      </c>
      <c r="D53" s="2">
        <f>IF($A53="","",kpi_master!G39&amp;"")</f>
        <v/>
      </c>
      <c r="E53" s="2">
        <f>IF($A53="","",kpi_master!E39&amp;"")</f>
        <v/>
      </c>
      <c r="F53" s="2">
        <f>IF($A53="","",kpi_master!H39&amp;"")</f>
        <v/>
      </c>
      <c r="G53" s="2">
        <f>IF($A53="","",kpi_master!N39)</f>
        <v/>
      </c>
      <c r="H53" s="2">
        <f>IF($A53="","",COUNTIFS(monthly_entries!$B:$B,$A53,monthly_entries!$C:$C,$C$3,monthly_entries!$G:$G,"&lt;&gt;not_started"))</f>
        <v/>
      </c>
      <c r="I53" s="2">
        <f>IF($A53="","",_xlfn.MAXIFS(monthly_entries!$E:$E,monthly_entries!$B:$B,$A53,monthly_entries!$C:$C,$C$3))</f>
        <v/>
      </c>
      <c r="J53" s="2">
        <f>IF(OR($A53="",$I53=0),"",INDEX(fiscal_months!$D:$D,MATCH($C$3&amp;"|"&amp;TEXT($I53,"00"),fiscal_months!$A:$A,0)))</f>
        <v/>
      </c>
      <c r="K53" s="2">
        <f>IF($A53="","",IF($I53=0,"not_started",INDEX(monthly_entries!$G:$G,MATCH($A53&amp;"__"&amp;$J53,monthly_entries!$A:$A,0))))</f>
        <v/>
      </c>
      <c r="L53" s="2">
        <f>IF($A53="","",INDEX(ref_status!$B:$B,MATCH($K53,ref_status!$A:$A,0)))</f>
        <v/>
      </c>
      <c r="M53" s="2">
        <f>IF(OR($A53="",$I53=0),"",INDEX(monthly_entries!$H:$H,MATCH($A53&amp;"__"&amp;$J53,monthly_entries!$A:$A,0))&amp;"")</f>
        <v/>
      </c>
      <c r="N53" s="2">
        <f>IF($A53="","",IF($F53="count",SUMIFS(monthly_entries!$I:$I,monthly_entries!$B:$B,$A53,monthly_entries!$C:$C,$C$3),""))</f>
        <v/>
      </c>
      <c r="O53" s="2">
        <f>IF($A53="","",kpi_master!J39&amp;"")</f>
        <v/>
      </c>
      <c r="P53" s="2">
        <f>IF($A53="","",kpi_master!L39&amp;"")</f>
        <v/>
      </c>
      <c r="Q53" s="2">
        <f>IF(OR($A53="",$F53&lt;&gt;"count",$O53=""),"",IF($P53="lte",IF($N53&lt;=VALUE($O53),"ผ่าน","ไม่ผ่าน"),IF($N53&gt;=VALUE($O53),"ผ่าน","ยังไม่ถึงเป้า")))</f>
        <v/>
      </c>
    </row>
    <row r="54">
      <c r="A54" s="2">
        <f>IF(kpi_master!A40="","",kpi_master!A40)</f>
        <v/>
      </c>
      <c r="B54" s="2">
        <f>IF($A54="","",kpi_master!C40&amp;"")</f>
        <v/>
      </c>
      <c r="C54" s="2">
        <f>IF($A54="","",kpi_master!F40&amp;"")</f>
        <v/>
      </c>
      <c r="D54" s="2">
        <f>IF($A54="","",kpi_master!G40&amp;"")</f>
        <v/>
      </c>
      <c r="E54" s="2">
        <f>IF($A54="","",kpi_master!E40&amp;"")</f>
        <v/>
      </c>
      <c r="F54" s="2">
        <f>IF($A54="","",kpi_master!H40&amp;"")</f>
        <v/>
      </c>
      <c r="G54" s="2">
        <f>IF($A54="","",kpi_master!N40)</f>
        <v/>
      </c>
      <c r="H54" s="2">
        <f>IF($A54="","",COUNTIFS(monthly_entries!$B:$B,$A54,monthly_entries!$C:$C,$C$3,monthly_entries!$G:$G,"&lt;&gt;not_started"))</f>
        <v/>
      </c>
      <c r="I54" s="2">
        <f>IF($A54="","",_xlfn.MAXIFS(monthly_entries!$E:$E,monthly_entries!$B:$B,$A54,monthly_entries!$C:$C,$C$3))</f>
        <v/>
      </c>
      <c r="J54" s="2">
        <f>IF(OR($A54="",$I54=0),"",INDEX(fiscal_months!$D:$D,MATCH($C$3&amp;"|"&amp;TEXT($I54,"00"),fiscal_months!$A:$A,0)))</f>
        <v/>
      </c>
      <c r="K54" s="2">
        <f>IF($A54="","",IF($I54=0,"not_started",INDEX(monthly_entries!$G:$G,MATCH($A54&amp;"__"&amp;$J54,monthly_entries!$A:$A,0))))</f>
        <v/>
      </c>
      <c r="L54" s="2">
        <f>IF($A54="","",INDEX(ref_status!$B:$B,MATCH($K54,ref_status!$A:$A,0)))</f>
        <v/>
      </c>
      <c r="M54" s="2">
        <f>IF(OR($A54="",$I54=0),"",INDEX(monthly_entries!$H:$H,MATCH($A54&amp;"__"&amp;$J54,monthly_entries!$A:$A,0))&amp;"")</f>
        <v/>
      </c>
      <c r="N54" s="2">
        <f>IF($A54="","",IF($F54="count",SUMIFS(monthly_entries!$I:$I,monthly_entries!$B:$B,$A54,monthly_entries!$C:$C,$C$3),""))</f>
        <v/>
      </c>
      <c r="O54" s="2">
        <f>IF($A54="","",kpi_master!J40&amp;"")</f>
        <v/>
      </c>
      <c r="P54" s="2">
        <f>IF($A54="","",kpi_master!L40&amp;"")</f>
        <v/>
      </c>
      <c r="Q54" s="2">
        <f>IF(OR($A54="",$F54&lt;&gt;"count",$O54=""),"",IF($P54="lte",IF($N54&lt;=VALUE($O54),"ผ่าน","ไม่ผ่าน"),IF($N54&gt;=VALUE($O54),"ผ่าน","ยังไม่ถึงเป้า")))</f>
        <v/>
      </c>
    </row>
    <row r="55">
      <c r="A55" s="2">
        <f>IF(kpi_master!A41="","",kpi_master!A41)</f>
        <v/>
      </c>
      <c r="B55" s="2">
        <f>IF($A55="","",kpi_master!C41&amp;"")</f>
        <v/>
      </c>
      <c r="C55" s="2">
        <f>IF($A55="","",kpi_master!F41&amp;"")</f>
        <v/>
      </c>
      <c r="D55" s="2">
        <f>IF($A55="","",kpi_master!G41&amp;"")</f>
        <v/>
      </c>
      <c r="E55" s="2">
        <f>IF($A55="","",kpi_master!E41&amp;"")</f>
        <v/>
      </c>
      <c r="F55" s="2">
        <f>IF($A55="","",kpi_master!H41&amp;"")</f>
        <v/>
      </c>
      <c r="G55" s="2">
        <f>IF($A55="","",kpi_master!N41)</f>
        <v/>
      </c>
      <c r="H55" s="2">
        <f>IF($A55="","",COUNTIFS(monthly_entries!$B:$B,$A55,monthly_entries!$C:$C,$C$3,monthly_entries!$G:$G,"&lt;&gt;not_started"))</f>
        <v/>
      </c>
      <c r="I55" s="2">
        <f>IF($A55="","",_xlfn.MAXIFS(monthly_entries!$E:$E,monthly_entries!$B:$B,$A55,monthly_entries!$C:$C,$C$3))</f>
        <v/>
      </c>
      <c r="J55" s="2">
        <f>IF(OR($A55="",$I55=0),"",INDEX(fiscal_months!$D:$D,MATCH($C$3&amp;"|"&amp;TEXT($I55,"00"),fiscal_months!$A:$A,0)))</f>
        <v/>
      </c>
      <c r="K55" s="2">
        <f>IF($A55="","",IF($I55=0,"not_started",INDEX(monthly_entries!$G:$G,MATCH($A55&amp;"__"&amp;$J55,monthly_entries!$A:$A,0))))</f>
        <v/>
      </c>
      <c r="L55" s="2">
        <f>IF($A55="","",INDEX(ref_status!$B:$B,MATCH($K55,ref_status!$A:$A,0)))</f>
        <v/>
      </c>
      <c r="M55" s="2">
        <f>IF(OR($A55="",$I55=0),"",INDEX(monthly_entries!$H:$H,MATCH($A55&amp;"__"&amp;$J55,monthly_entries!$A:$A,0))&amp;"")</f>
        <v/>
      </c>
      <c r="N55" s="2">
        <f>IF($A55="","",IF($F55="count",SUMIFS(monthly_entries!$I:$I,monthly_entries!$B:$B,$A55,monthly_entries!$C:$C,$C$3),""))</f>
        <v/>
      </c>
      <c r="O55" s="2">
        <f>IF($A55="","",kpi_master!J41&amp;"")</f>
        <v/>
      </c>
      <c r="P55" s="2">
        <f>IF($A55="","",kpi_master!L41&amp;"")</f>
        <v/>
      </c>
      <c r="Q55" s="2">
        <f>IF(OR($A55="",$F55&lt;&gt;"count",$O55=""),"",IF($P55="lte",IF($N55&lt;=VALUE($O55),"ผ่าน","ไม่ผ่าน"),IF($N55&gt;=VALUE($O55),"ผ่าน","ยังไม่ถึงเป้า")))</f>
        <v/>
      </c>
    </row>
    <row r="56">
      <c r="A56" s="2">
        <f>IF(kpi_master!A42="","",kpi_master!A42)</f>
        <v/>
      </c>
      <c r="B56" s="2">
        <f>IF($A56="","",kpi_master!C42&amp;"")</f>
        <v/>
      </c>
      <c r="C56" s="2">
        <f>IF($A56="","",kpi_master!F42&amp;"")</f>
        <v/>
      </c>
      <c r="D56" s="2">
        <f>IF($A56="","",kpi_master!G42&amp;"")</f>
        <v/>
      </c>
      <c r="E56" s="2">
        <f>IF($A56="","",kpi_master!E42&amp;"")</f>
        <v/>
      </c>
      <c r="F56" s="2">
        <f>IF($A56="","",kpi_master!H42&amp;"")</f>
        <v/>
      </c>
      <c r="G56" s="2">
        <f>IF($A56="","",kpi_master!N42)</f>
        <v/>
      </c>
      <c r="H56" s="2">
        <f>IF($A56="","",COUNTIFS(monthly_entries!$B:$B,$A56,monthly_entries!$C:$C,$C$3,monthly_entries!$G:$G,"&lt;&gt;not_started"))</f>
        <v/>
      </c>
      <c r="I56" s="2">
        <f>IF($A56="","",_xlfn.MAXIFS(monthly_entries!$E:$E,monthly_entries!$B:$B,$A56,monthly_entries!$C:$C,$C$3))</f>
        <v/>
      </c>
      <c r="J56" s="2">
        <f>IF(OR($A56="",$I56=0),"",INDEX(fiscal_months!$D:$D,MATCH($C$3&amp;"|"&amp;TEXT($I56,"00"),fiscal_months!$A:$A,0)))</f>
        <v/>
      </c>
      <c r="K56" s="2">
        <f>IF($A56="","",IF($I56=0,"not_started",INDEX(monthly_entries!$G:$G,MATCH($A56&amp;"__"&amp;$J56,monthly_entries!$A:$A,0))))</f>
        <v/>
      </c>
      <c r="L56" s="2">
        <f>IF($A56="","",INDEX(ref_status!$B:$B,MATCH($K56,ref_status!$A:$A,0)))</f>
        <v/>
      </c>
      <c r="M56" s="2">
        <f>IF(OR($A56="",$I56=0),"",INDEX(monthly_entries!$H:$H,MATCH($A56&amp;"__"&amp;$J56,monthly_entries!$A:$A,0))&amp;"")</f>
        <v/>
      </c>
      <c r="N56" s="2">
        <f>IF($A56="","",IF($F56="count",SUMIFS(monthly_entries!$I:$I,monthly_entries!$B:$B,$A56,monthly_entries!$C:$C,$C$3),""))</f>
        <v/>
      </c>
      <c r="O56" s="2">
        <f>IF($A56="","",kpi_master!J42&amp;"")</f>
        <v/>
      </c>
      <c r="P56" s="2">
        <f>IF($A56="","",kpi_master!L42&amp;"")</f>
        <v/>
      </c>
      <c r="Q56" s="2">
        <f>IF(OR($A56="",$F56&lt;&gt;"count",$O56=""),"",IF($P56="lte",IF($N56&lt;=VALUE($O56),"ผ่าน","ไม่ผ่าน"),IF($N56&gt;=VALUE($O56),"ผ่าน","ยังไม่ถึงเป้า")))</f>
        <v/>
      </c>
    </row>
    <row r="57">
      <c r="A57" s="2">
        <f>IF(kpi_master!A43="","",kpi_master!A43)</f>
        <v/>
      </c>
      <c r="B57" s="2">
        <f>IF($A57="","",kpi_master!C43&amp;"")</f>
        <v/>
      </c>
      <c r="C57" s="2">
        <f>IF($A57="","",kpi_master!F43&amp;"")</f>
        <v/>
      </c>
      <c r="D57" s="2">
        <f>IF($A57="","",kpi_master!G43&amp;"")</f>
        <v/>
      </c>
      <c r="E57" s="2">
        <f>IF($A57="","",kpi_master!E43&amp;"")</f>
        <v/>
      </c>
      <c r="F57" s="2">
        <f>IF($A57="","",kpi_master!H43&amp;"")</f>
        <v/>
      </c>
      <c r="G57" s="2">
        <f>IF($A57="","",kpi_master!N43)</f>
        <v/>
      </c>
      <c r="H57" s="2">
        <f>IF($A57="","",COUNTIFS(monthly_entries!$B:$B,$A57,monthly_entries!$C:$C,$C$3,monthly_entries!$G:$G,"&lt;&gt;not_started"))</f>
        <v/>
      </c>
      <c r="I57" s="2">
        <f>IF($A57="","",_xlfn.MAXIFS(monthly_entries!$E:$E,monthly_entries!$B:$B,$A57,monthly_entries!$C:$C,$C$3))</f>
        <v/>
      </c>
      <c r="J57" s="2">
        <f>IF(OR($A57="",$I57=0),"",INDEX(fiscal_months!$D:$D,MATCH($C$3&amp;"|"&amp;TEXT($I57,"00"),fiscal_months!$A:$A,0)))</f>
        <v/>
      </c>
      <c r="K57" s="2">
        <f>IF($A57="","",IF($I57=0,"not_started",INDEX(monthly_entries!$G:$G,MATCH($A57&amp;"__"&amp;$J57,monthly_entries!$A:$A,0))))</f>
        <v/>
      </c>
      <c r="L57" s="2">
        <f>IF($A57="","",INDEX(ref_status!$B:$B,MATCH($K57,ref_status!$A:$A,0)))</f>
        <v/>
      </c>
      <c r="M57" s="2">
        <f>IF(OR($A57="",$I57=0),"",INDEX(monthly_entries!$H:$H,MATCH($A57&amp;"__"&amp;$J57,monthly_entries!$A:$A,0))&amp;"")</f>
        <v/>
      </c>
      <c r="N57" s="2">
        <f>IF($A57="","",IF($F57="count",SUMIFS(monthly_entries!$I:$I,monthly_entries!$B:$B,$A57,monthly_entries!$C:$C,$C$3),""))</f>
        <v/>
      </c>
      <c r="O57" s="2">
        <f>IF($A57="","",kpi_master!J43&amp;"")</f>
        <v/>
      </c>
      <c r="P57" s="2">
        <f>IF($A57="","",kpi_master!L43&amp;"")</f>
        <v/>
      </c>
      <c r="Q57" s="2">
        <f>IF(OR($A57="",$F57&lt;&gt;"count",$O57=""),"",IF($P57="lte",IF($N57&lt;=VALUE($O57),"ผ่าน","ไม่ผ่าน"),IF($N57&gt;=VALUE($O57),"ผ่าน","ยังไม่ถึงเป้า")))</f>
        <v/>
      </c>
    </row>
    <row r="58">
      <c r="A58" s="2">
        <f>IF(kpi_master!A44="","",kpi_master!A44)</f>
        <v/>
      </c>
      <c r="B58" s="2">
        <f>IF($A58="","",kpi_master!C44&amp;"")</f>
        <v/>
      </c>
      <c r="C58" s="2">
        <f>IF($A58="","",kpi_master!F44&amp;"")</f>
        <v/>
      </c>
      <c r="D58" s="2">
        <f>IF($A58="","",kpi_master!G44&amp;"")</f>
        <v/>
      </c>
      <c r="E58" s="2">
        <f>IF($A58="","",kpi_master!E44&amp;"")</f>
        <v/>
      </c>
      <c r="F58" s="2">
        <f>IF($A58="","",kpi_master!H44&amp;"")</f>
        <v/>
      </c>
      <c r="G58" s="2">
        <f>IF($A58="","",kpi_master!N44)</f>
        <v/>
      </c>
      <c r="H58" s="2">
        <f>IF($A58="","",COUNTIFS(monthly_entries!$B:$B,$A58,monthly_entries!$C:$C,$C$3,monthly_entries!$G:$G,"&lt;&gt;not_started"))</f>
        <v/>
      </c>
      <c r="I58" s="2">
        <f>IF($A58="","",_xlfn.MAXIFS(monthly_entries!$E:$E,monthly_entries!$B:$B,$A58,monthly_entries!$C:$C,$C$3))</f>
        <v/>
      </c>
      <c r="J58" s="2">
        <f>IF(OR($A58="",$I58=0),"",INDEX(fiscal_months!$D:$D,MATCH($C$3&amp;"|"&amp;TEXT($I58,"00"),fiscal_months!$A:$A,0)))</f>
        <v/>
      </c>
      <c r="K58" s="2">
        <f>IF($A58="","",IF($I58=0,"not_started",INDEX(monthly_entries!$G:$G,MATCH($A58&amp;"__"&amp;$J58,monthly_entries!$A:$A,0))))</f>
        <v/>
      </c>
      <c r="L58" s="2">
        <f>IF($A58="","",INDEX(ref_status!$B:$B,MATCH($K58,ref_status!$A:$A,0)))</f>
        <v/>
      </c>
      <c r="M58" s="2">
        <f>IF(OR($A58="",$I58=0),"",INDEX(monthly_entries!$H:$H,MATCH($A58&amp;"__"&amp;$J58,monthly_entries!$A:$A,0))&amp;"")</f>
        <v/>
      </c>
      <c r="N58" s="2">
        <f>IF($A58="","",IF($F58="count",SUMIFS(monthly_entries!$I:$I,monthly_entries!$B:$B,$A58,monthly_entries!$C:$C,$C$3),""))</f>
        <v/>
      </c>
      <c r="O58" s="2">
        <f>IF($A58="","",kpi_master!J44&amp;"")</f>
        <v/>
      </c>
      <c r="P58" s="2">
        <f>IF($A58="","",kpi_master!L44&amp;"")</f>
        <v/>
      </c>
      <c r="Q58" s="2">
        <f>IF(OR($A58="",$F58&lt;&gt;"count",$O58=""),"",IF($P58="lte",IF($N58&lt;=VALUE($O58),"ผ่าน","ไม่ผ่าน"),IF($N58&gt;=VALUE($O58),"ผ่าน","ยังไม่ถึงเป้า")))</f>
        <v/>
      </c>
    </row>
    <row r="59">
      <c r="A59" s="2">
        <f>IF(kpi_master!A45="","",kpi_master!A45)</f>
        <v/>
      </c>
      <c r="B59" s="2">
        <f>IF($A59="","",kpi_master!C45&amp;"")</f>
        <v/>
      </c>
      <c r="C59" s="2">
        <f>IF($A59="","",kpi_master!F45&amp;"")</f>
        <v/>
      </c>
      <c r="D59" s="2">
        <f>IF($A59="","",kpi_master!G45&amp;"")</f>
        <v/>
      </c>
      <c r="E59" s="2">
        <f>IF($A59="","",kpi_master!E45&amp;"")</f>
        <v/>
      </c>
      <c r="F59" s="2">
        <f>IF($A59="","",kpi_master!H45&amp;"")</f>
        <v/>
      </c>
      <c r="G59" s="2">
        <f>IF($A59="","",kpi_master!N45)</f>
        <v/>
      </c>
      <c r="H59" s="2">
        <f>IF($A59="","",COUNTIFS(monthly_entries!$B:$B,$A59,monthly_entries!$C:$C,$C$3,monthly_entries!$G:$G,"&lt;&gt;not_started"))</f>
        <v/>
      </c>
      <c r="I59" s="2">
        <f>IF($A59="","",_xlfn.MAXIFS(monthly_entries!$E:$E,monthly_entries!$B:$B,$A59,monthly_entries!$C:$C,$C$3))</f>
        <v/>
      </c>
      <c r="J59" s="2">
        <f>IF(OR($A59="",$I59=0),"",INDEX(fiscal_months!$D:$D,MATCH($C$3&amp;"|"&amp;TEXT($I59,"00"),fiscal_months!$A:$A,0)))</f>
        <v/>
      </c>
      <c r="K59" s="2">
        <f>IF($A59="","",IF($I59=0,"not_started",INDEX(monthly_entries!$G:$G,MATCH($A59&amp;"__"&amp;$J59,monthly_entries!$A:$A,0))))</f>
        <v/>
      </c>
      <c r="L59" s="2">
        <f>IF($A59="","",INDEX(ref_status!$B:$B,MATCH($K59,ref_status!$A:$A,0)))</f>
        <v/>
      </c>
      <c r="M59" s="2">
        <f>IF(OR($A59="",$I59=0),"",INDEX(monthly_entries!$H:$H,MATCH($A59&amp;"__"&amp;$J59,monthly_entries!$A:$A,0))&amp;"")</f>
        <v/>
      </c>
      <c r="N59" s="2">
        <f>IF($A59="","",IF($F59="count",SUMIFS(monthly_entries!$I:$I,monthly_entries!$B:$B,$A59,monthly_entries!$C:$C,$C$3),""))</f>
        <v/>
      </c>
      <c r="O59" s="2">
        <f>IF($A59="","",kpi_master!J45&amp;"")</f>
        <v/>
      </c>
      <c r="P59" s="2">
        <f>IF($A59="","",kpi_master!L45&amp;"")</f>
        <v/>
      </c>
      <c r="Q59" s="2">
        <f>IF(OR($A59="",$F59&lt;&gt;"count",$O59=""),"",IF($P59="lte",IF($N59&lt;=VALUE($O59),"ผ่าน","ไม่ผ่าน"),IF($N59&gt;=VALUE($O59),"ผ่าน","ยังไม่ถึงเป้า")))</f>
        <v/>
      </c>
    </row>
    <row r="60">
      <c r="A60" s="2">
        <f>IF(kpi_master!A46="","",kpi_master!A46)</f>
        <v/>
      </c>
      <c r="B60" s="2">
        <f>IF($A60="","",kpi_master!C46&amp;"")</f>
        <v/>
      </c>
      <c r="C60" s="2">
        <f>IF($A60="","",kpi_master!F46&amp;"")</f>
        <v/>
      </c>
      <c r="D60" s="2">
        <f>IF($A60="","",kpi_master!G46&amp;"")</f>
        <v/>
      </c>
      <c r="E60" s="2">
        <f>IF($A60="","",kpi_master!E46&amp;"")</f>
        <v/>
      </c>
      <c r="F60" s="2">
        <f>IF($A60="","",kpi_master!H46&amp;"")</f>
        <v/>
      </c>
      <c r="G60" s="2">
        <f>IF($A60="","",kpi_master!N46)</f>
        <v/>
      </c>
      <c r="H60" s="2">
        <f>IF($A60="","",COUNTIFS(monthly_entries!$B:$B,$A60,monthly_entries!$C:$C,$C$3,monthly_entries!$G:$G,"&lt;&gt;not_started"))</f>
        <v/>
      </c>
      <c r="I60" s="2">
        <f>IF($A60="","",_xlfn.MAXIFS(monthly_entries!$E:$E,monthly_entries!$B:$B,$A60,monthly_entries!$C:$C,$C$3))</f>
        <v/>
      </c>
      <c r="J60" s="2">
        <f>IF(OR($A60="",$I60=0),"",INDEX(fiscal_months!$D:$D,MATCH($C$3&amp;"|"&amp;TEXT($I60,"00"),fiscal_months!$A:$A,0)))</f>
        <v/>
      </c>
      <c r="K60" s="2">
        <f>IF($A60="","",IF($I60=0,"not_started",INDEX(monthly_entries!$G:$G,MATCH($A60&amp;"__"&amp;$J60,monthly_entries!$A:$A,0))))</f>
        <v/>
      </c>
      <c r="L60" s="2">
        <f>IF($A60="","",INDEX(ref_status!$B:$B,MATCH($K60,ref_status!$A:$A,0)))</f>
        <v/>
      </c>
      <c r="M60" s="2">
        <f>IF(OR($A60="",$I60=0),"",INDEX(monthly_entries!$H:$H,MATCH($A60&amp;"__"&amp;$J60,monthly_entries!$A:$A,0))&amp;"")</f>
        <v/>
      </c>
      <c r="N60" s="2">
        <f>IF($A60="","",IF($F60="count",SUMIFS(monthly_entries!$I:$I,monthly_entries!$B:$B,$A60,monthly_entries!$C:$C,$C$3),""))</f>
        <v/>
      </c>
      <c r="O60" s="2">
        <f>IF($A60="","",kpi_master!J46&amp;"")</f>
        <v/>
      </c>
      <c r="P60" s="2">
        <f>IF($A60="","",kpi_master!L46&amp;"")</f>
        <v/>
      </c>
      <c r="Q60" s="2">
        <f>IF(OR($A60="",$F60&lt;&gt;"count",$O60=""),"",IF($P60="lte",IF($N60&lt;=VALUE($O60),"ผ่าน","ไม่ผ่าน"),IF($N60&gt;=VALUE($O60),"ผ่าน","ยังไม่ถึงเป้า")))</f>
        <v/>
      </c>
    </row>
    <row r="61">
      <c r="A61" s="2">
        <f>IF(kpi_master!A47="","",kpi_master!A47)</f>
        <v/>
      </c>
      <c r="B61" s="2">
        <f>IF($A61="","",kpi_master!C47&amp;"")</f>
        <v/>
      </c>
      <c r="C61" s="2">
        <f>IF($A61="","",kpi_master!F47&amp;"")</f>
        <v/>
      </c>
      <c r="D61" s="2">
        <f>IF($A61="","",kpi_master!G47&amp;"")</f>
        <v/>
      </c>
      <c r="E61" s="2">
        <f>IF($A61="","",kpi_master!E47&amp;"")</f>
        <v/>
      </c>
      <c r="F61" s="2">
        <f>IF($A61="","",kpi_master!H47&amp;"")</f>
        <v/>
      </c>
      <c r="G61" s="2">
        <f>IF($A61="","",kpi_master!N47)</f>
        <v/>
      </c>
      <c r="H61" s="2">
        <f>IF($A61="","",COUNTIFS(monthly_entries!$B:$B,$A61,monthly_entries!$C:$C,$C$3,monthly_entries!$G:$G,"&lt;&gt;not_started"))</f>
        <v/>
      </c>
      <c r="I61" s="2">
        <f>IF($A61="","",_xlfn.MAXIFS(monthly_entries!$E:$E,monthly_entries!$B:$B,$A61,monthly_entries!$C:$C,$C$3))</f>
        <v/>
      </c>
      <c r="J61" s="2">
        <f>IF(OR($A61="",$I61=0),"",INDEX(fiscal_months!$D:$D,MATCH($C$3&amp;"|"&amp;TEXT($I61,"00"),fiscal_months!$A:$A,0)))</f>
        <v/>
      </c>
      <c r="K61" s="2">
        <f>IF($A61="","",IF($I61=0,"not_started",INDEX(monthly_entries!$G:$G,MATCH($A61&amp;"__"&amp;$J61,monthly_entries!$A:$A,0))))</f>
        <v/>
      </c>
      <c r="L61" s="2">
        <f>IF($A61="","",INDEX(ref_status!$B:$B,MATCH($K61,ref_status!$A:$A,0)))</f>
        <v/>
      </c>
      <c r="M61" s="2">
        <f>IF(OR($A61="",$I61=0),"",INDEX(monthly_entries!$H:$H,MATCH($A61&amp;"__"&amp;$J61,monthly_entries!$A:$A,0))&amp;"")</f>
        <v/>
      </c>
      <c r="N61" s="2">
        <f>IF($A61="","",IF($F61="count",SUMIFS(monthly_entries!$I:$I,monthly_entries!$B:$B,$A61,monthly_entries!$C:$C,$C$3),""))</f>
        <v/>
      </c>
      <c r="O61" s="2">
        <f>IF($A61="","",kpi_master!J47&amp;"")</f>
        <v/>
      </c>
      <c r="P61" s="2">
        <f>IF($A61="","",kpi_master!L47&amp;"")</f>
        <v/>
      </c>
      <c r="Q61" s="2">
        <f>IF(OR($A61="",$F61&lt;&gt;"count",$O61=""),"",IF($P61="lte",IF($N61&lt;=VALUE($O61),"ผ่าน","ไม่ผ่าน"),IF($N61&gt;=VALUE($O61),"ผ่าน","ยังไม่ถึงเป้า")))</f>
        <v/>
      </c>
    </row>
    <row r="62">
      <c r="A62" s="2">
        <f>IF(kpi_master!A48="","",kpi_master!A48)</f>
        <v/>
      </c>
      <c r="B62" s="2">
        <f>IF($A62="","",kpi_master!C48&amp;"")</f>
        <v/>
      </c>
      <c r="C62" s="2">
        <f>IF($A62="","",kpi_master!F48&amp;"")</f>
        <v/>
      </c>
      <c r="D62" s="2">
        <f>IF($A62="","",kpi_master!G48&amp;"")</f>
        <v/>
      </c>
      <c r="E62" s="2">
        <f>IF($A62="","",kpi_master!E48&amp;"")</f>
        <v/>
      </c>
      <c r="F62" s="2">
        <f>IF($A62="","",kpi_master!H48&amp;"")</f>
        <v/>
      </c>
      <c r="G62" s="2">
        <f>IF($A62="","",kpi_master!N48)</f>
        <v/>
      </c>
      <c r="H62" s="2">
        <f>IF($A62="","",COUNTIFS(monthly_entries!$B:$B,$A62,monthly_entries!$C:$C,$C$3,monthly_entries!$G:$G,"&lt;&gt;not_started"))</f>
        <v/>
      </c>
      <c r="I62" s="2">
        <f>IF($A62="","",_xlfn.MAXIFS(monthly_entries!$E:$E,monthly_entries!$B:$B,$A62,monthly_entries!$C:$C,$C$3))</f>
        <v/>
      </c>
      <c r="J62" s="2">
        <f>IF(OR($A62="",$I62=0),"",INDEX(fiscal_months!$D:$D,MATCH($C$3&amp;"|"&amp;TEXT($I62,"00"),fiscal_months!$A:$A,0)))</f>
        <v/>
      </c>
      <c r="K62" s="2">
        <f>IF($A62="","",IF($I62=0,"not_started",INDEX(monthly_entries!$G:$G,MATCH($A62&amp;"__"&amp;$J62,monthly_entries!$A:$A,0))))</f>
        <v/>
      </c>
      <c r="L62" s="2">
        <f>IF($A62="","",INDEX(ref_status!$B:$B,MATCH($K62,ref_status!$A:$A,0)))</f>
        <v/>
      </c>
      <c r="M62" s="2">
        <f>IF(OR($A62="",$I62=0),"",INDEX(monthly_entries!$H:$H,MATCH($A62&amp;"__"&amp;$J62,monthly_entries!$A:$A,0))&amp;"")</f>
        <v/>
      </c>
      <c r="N62" s="2">
        <f>IF($A62="","",IF($F62="count",SUMIFS(monthly_entries!$I:$I,monthly_entries!$B:$B,$A62,monthly_entries!$C:$C,$C$3),""))</f>
        <v/>
      </c>
      <c r="O62" s="2">
        <f>IF($A62="","",kpi_master!J48&amp;"")</f>
        <v/>
      </c>
      <c r="P62" s="2">
        <f>IF($A62="","",kpi_master!L48&amp;"")</f>
        <v/>
      </c>
      <c r="Q62" s="2">
        <f>IF(OR($A62="",$F62&lt;&gt;"count",$O62=""),"",IF($P62="lte",IF($N62&lt;=VALUE($O62),"ผ่าน","ไม่ผ่าน"),IF($N62&gt;=VALUE($O62),"ผ่าน","ยังไม่ถึงเป้า")))</f>
        <v/>
      </c>
    </row>
    <row r="63">
      <c r="A63" s="2">
        <f>IF(kpi_master!A49="","",kpi_master!A49)</f>
        <v/>
      </c>
      <c r="B63" s="2">
        <f>IF($A63="","",kpi_master!C49&amp;"")</f>
        <v/>
      </c>
      <c r="C63" s="2">
        <f>IF($A63="","",kpi_master!F49&amp;"")</f>
        <v/>
      </c>
      <c r="D63" s="2">
        <f>IF($A63="","",kpi_master!G49&amp;"")</f>
        <v/>
      </c>
      <c r="E63" s="2">
        <f>IF($A63="","",kpi_master!E49&amp;"")</f>
        <v/>
      </c>
      <c r="F63" s="2">
        <f>IF($A63="","",kpi_master!H49&amp;"")</f>
        <v/>
      </c>
      <c r="G63" s="2">
        <f>IF($A63="","",kpi_master!N49)</f>
        <v/>
      </c>
      <c r="H63" s="2">
        <f>IF($A63="","",COUNTIFS(monthly_entries!$B:$B,$A63,monthly_entries!$C:$C,$C$3,monthly_entries!$G:$G,"&lt;&gt;not_started"))</f>
        <v/>
      </c>
      <c r="I63" s="2">
        <f>IF($A63="","",_xlfn.MAXIFS(monthly_entries!$E:$E,monthly_entries!$B:$B,$A63,monthly_entries!$C:$C,$C$3))</f>
        <v/>
      </c>
      <c r="J63" s="2">
        <f>IF(OR($A63="",$I63=0),"",INDEX(fiscal_months!$D:$D,MATCH($C$3&amp;"|"&amp;TEXT($I63,"00"),fiscal_months!$A:$A,0)))</f>
        <v/>
      </c>
      <c r="K63" s="2">
        <f>IF($A63="","",IF($I63=0,"not_started",INDEX(monthly_entries!$G:$G,MATCH($A63&amp;"__"&amp;$J63,monthly_entries!$A:$A,0))))</f>
        <v/>
      </c>
      <c r="L63" s="2">
        <f>IF($A63="","",INDEX(ref_status!$B:$B,MATCH($K63,ref_status!$A:$A,0)))</f>
        <v/>
      </c>
      <c r="M63" s="2">
        <f>IF(OR($A63="",$I63=0),"",INDEX(monthly_entries!$H:$H,MATCH($A63&amp;"__"&amp;$J63,monthly_entries!$A:$A,0))&amp;"")</f>
        <v/>
      </c>
      <c r="N63" s="2">
        <f>IF($A63="","",IF($F63="count",SUMIFS(monthly_entries!$I:$I,monthly_entries!$B:$B,$A63,monthly_entries!$C:$C,$C$3),""))</f>
        <v/>
      </c>
      <c r="O63" s="2">
        <f>IF($A63="","",kpi_master!J49&amp;"")</f>
        <v/>
      </c>
      <c r="P63" s="2">
        <f>IF($A63="","",kpi_master!L49&amp;"")</f>
        <v/>
      </c>
      <c r="Q63" s="2">
        <f>IF(OR($A63="",$F63&lt;&gt;"count",$O63=""),"",IF($P63="lte",IF($N63&lt;=VALUE($O63),"ผ่าน","ไม่ผ่าน"),IF($N63&gt;=VALUE($O63),"ผ่าน","ยังไม่ถึงเป้า")))</f>
        <v/>
      </c>
    </row>
    <row r="64">
      <c r="A64" s="2">
        <f>IF(kpi_master!A50="","",kpi_master!A50)</f>
        <v/>
      </c>
      <c r="B64" s="2">
        <f>IF($A64="","",kpi_master!C50&amp;"")</f>
        <v/>
      </c>
      <c r="C64" s="2">
        <f>IF($A64="","",kpi_master!F50&amp;"")</f>
        <v/>
      </c>
      <c r="D64" s="2">
        <f>IF($A64="","",kpi_master!G50&amp;"")</f>
        <v/>
      </c>
      <c r="E64" s="2">
        <f>IF($A64="","",kpi_master!E50&amp;"")</f>
        <v/>
      </c>
      <c r="F64" s="2">
        <f>IF($A64="","",kpi_master!H50&amp;"")</f>
        <v/>
      </c>
      <c r="G64" s="2">
        <f>IF($A64="","",kpi_master!N50)</f>
        <v/>
      </c>
      <c r="H64" s="2">
        <f>IF($A64="","",COUNTIFS(monthly_entries!$B:$B,$A64,monthly_entries!$C:$C,$C$3,monthly_entries!$G:$G,"&lt;&gt;not_started"))</f>
        <v/>
      </c>
      <c r="I64" s="2">
        <f>IF($A64="","",_xlfn.MAXIFS(monthly_entries!$E:$E,monthly_entries!$B:$B,$A64,monthly_entries!$C:$C,$C$3))</f>
        <v/>
      </c>
      <c r="J64" s="2">
        <f>IF(OR($A64="",$I64=0),"",INDEX(fiscal_months!$D:$D,MATCH($C$3&amp;"|"&amp;TEXT($I64,"00"),fiscal_months!$A:$A,0)))</f>
        <v/>
      </c>
      <c r="K64" s="2">
        <f>IF($A64="","",IF($I64=0,"not_started",INDEX(monthly_entries!$G:$G,MATCH($A64&amp;"__"&amp;$J64,monthly_entries!$A:$A,0))))</f>
        <v/>
      </c>
      <c r="L64" s="2">
        <f>IF($A64="","",INDEX(ref_status!$B:$B,MATCH($K64,ref_status!$A:$A,0)))</f>
        <v/>
      </c>
      <c r="M64" s="2">
        <f>IF(OR($A64="",$I64=0),"",INDEX(monthly_entries!$H:$H,MATCH($A64&amp;"__"&amp;$J64,monthly_entries!$A:$A,0))&amp;"")</f>
        <v/>
      </c>
      <c r="N64" s="2">
        <f>IF($A64="","",IF($F64="count",SUMIFS(monthly_entries!$I:$I,monthly_entries!$B:$B,$A64,monthly_entries!$C:$C,$C$3),""))</f>
        <v/>
      </c>
      <c r="O64" s="2">
        <f>IF($A64="","",kpi_master!J50&amp;"")</f>
        <v/>
      </c>
      <c r="P64" s="2">
        <f>IF($A64="","",kpi_master!L50&amp;"")</f>
        <v/>
      </c>
      <c r="Q64" s="2">
        <f>IF(OR($A64="",$F64&lt;&gt;"count",$O64=""),"",IF($P64="lte",IF($N64&lt;=VALUE($O64),"ผ่าน","ไม่ผ่าน"),IF($N64&gt;=VALUE($O64),"ผ่าน","ยังไม่ถึงเป้า")))</f>
        <v/>
      </c>
    </row>
    <row r="65">
      <c r="A65" s="2">
        <f>IF(kpi_master!A51="","",kpi_master!A51)</f>
        <v/>
      </c>
      <c r="B65" s="2">
        <f>IF($A65="","",kpi_master!C51&amp;"")</f>
        <v/>
      </c>
      <c r="C65" s="2">
        <f>IF($A65="","",kpi_master!F51&amp;"")</f>
        <v/>
      </c>
      <c r="D65" s="2">
        <f>IF($A65="","",kpi_master!G51&amp;"")</f>
        <v/>
      </c>
      <c r="E65" s="2">
        <f>IF($A65="","",kpi_master!E51&amp;"")</f>
        <v/>
      </c>
      <c r="F65" s="2">
        <f>IF($A65="","",kpi_master!H51&amp;"")</f>
        <v/>
      </c>
      <c r="G65" s="2">
        <f>IF($A65="","",kpi_master!N51)</f>
        <v/>
      </c>
      <c r="H65" s="2">
        <f>IF($A65="","",COUNTIFS(monthly_entries!$B:$B,$A65,monthly_entries!$C:$C,$C$3,monthly_entries!$G:$G,"&lt;&gt;not_started"))</f>
        <v/>
      </c>
      <c r="I65" s="2">
        <f>IF($A65="","",_xlfn.MAXIFS(monthly_entries!$E:$E,monthly_entries!$B:$B,$A65,monthly_entries!$C:$C,$C$3))</f>
        <v/>
      </c>
      <c r="J65" s="2">
        <f>IF(OR($A65="",$I65=0),"",INDEX(fiscal_months!$D:$D,MATCH($C$3&amp;"|"&amp;TEXT($I65,"00"),fiscal_months!$A:$A,0)))</f>
        <v/>
      </c>
      <c r="K65" s="2">
        <f>IF($A65="","",IF($I65=0,"not_started",INDEX(monthly_entries!$G:$G,MATCH($A65&amp;"__"&amp;$J65,monthly_entries!$A:$A,0))))</f>
        <v/>
      </c>
      <c r="L65" s="2">
        <f>IF($A65="","",INDEX(ref_status!$B:$B,MATCH($K65,ref_status!$A:$A,0)))</f>
        <v/>
      </c>
      <c r="M65" s="2">
        <f>IF(OR($A65="",$I65=0),"",INDEX(monthly_entries!$H:$H,MATCH($A65&amp;"__"&amp;$J65,monthly_entries!$A:$A,0))&amp;"")</f>
        <v/>
      </c>
      <c r="N65" s="2">
        <f>IF($A65="","",IF($F65="count",SUMIFS(monthly_entries!$I:$I,monthly_entries!$B:$B,$A65,monthly_entries!$C:$C,$C$3),""))</f>
        <v/>
      </c>
      <c r="O65" s="2">
        <f>IF($A65="","",kpi_master!J51&amp;"")</f>
        <v/>
      </c>
      <c r="P65" s="2">
        <f>IF($A65="","",kpi_master!L51&amp;"")</f>
        <v/>
      </c>
      <c r="Q65" s="2">
        <f>IF(OR($A65="",$F65&lt;&gt;"count",$O65=""),"",IF($P65="lte",IF($N65&lt;=VALUE($O65),"ผ่าน","ไม่ผ่าน"),IF($N65&gt;=VALUE($O65),"ผ่าน","ยังไม่ถึงเป้า")))</f>
        <v/>
      </c>
    </row>
    <row r="66">
      <c r="A66" s="2">
        <f>IF(kpi_master!A52="","",kpi_master!A52)</f>
        <v/>
      </c>
      <c r="B66" s="2">
        <f>IF($A66="","",kpi_master!C52&amp;"")</f>
        <v/>
      </c>
      <c r="C66" s="2">
        <f>IF($A66="","",kpi_master!F52&amp;"")</f>
        <v/>
      </c>
      <c r="D66" s="2">
        <f>IF($A66="","",kpi_master!G52&amp;"")</f>
        <v/>
      </c>
      <c r="E66" s="2">
        <f>IF($A66="","",kpi_master!E52&amp;"")</f>
        <v/>
      </c>
      <c r="F66" s="2">
        <f>IF($A66="","",kpi_master!H52&amp;"")</f>
        <v/>
      </c>
      <c r="G66" s="2">
        <f>IF($A66="","",kpi_master!N52)</f>
        <v/>
      </c>
      <c r="H66" s="2">
        <f>IF($A66="","",COUNTIFS(monthly_entries!$B:$B,$A66,monthly_entries!$C:$C,$C$3,monthly_entries!$G:$G,"&lt;&gt;not_started"))</f>
        <v/>
      </c>
      <c r="I66" s="2">
        <f>IF($A66="","",_xlfn.MAXIFS(monthly_entries!$E:$E,monthly_entries!$B:$B,$A66,monthly_entries!$C:$C,$C$3))</f>
        <v/>
      </c>
      <c r="J66" s="2">
        <f>IF(OR($A66="",$I66=0),"",INDEX(fiscal_months!$D:$D,MATCH($C$3&amp;"|"&amp;TEXT($I66,"00"),fiscal_months!$A:$A,0)))</f>
        <v/>
      </c>
      <c r="K66" s="2">
        <f>IF($A66="","",IF($I66=0,"not_started",INDEX(monthly_entries!$G:$G,MATCH($A66&amp;"__"&amp;$J66,monthly_entries!$A:$A,0))))</f>
        <v/>
      </c>
      <c r="L66" s="2">
        <f>IF($A66="","",INDEX(ref_status!$B:$B,MATCH($K66,ref_status!$A:$A,0)))</f>
        <v/>
      </c>
      <c r="M66" s="2">
        <f>IF(OR($A66="",$I66=0),"",INDEX(monthly_entries!$H:$H,MATCH($A66&amp;"__"&amp;$J66,monthly_entries!$A:$A,0))&amp;"")</f>
        <v/>
      </c>
      <c r="N66" s="2">
        <f>IF($A66="","",IF($F66="count",SUMIFS(monthly_entries!$I:$I,monthly_entries!$B:$B,$A66,monthly_entries!$C:$C,$C$3),""))</f>
        <v/>
      </c>
      <c r="O66" s="2">
        <f>IF($A66="","",kpi_master!J52&amp;"")</f>
        <v/>
      </c>
      <c r="P66" s="2">
        <f>IF($A66="","",kpi_master!L52&amp;"")</f>
        <v/>
      </c>
      <c r="Q66" s="2">
        <f>IF(OR($A66="",$F66&lt;&gt;"count",$O66=""),"",IF($P66="lte",IF($N66&lt;=VALUE($O66),"ผ่าน","ไม่ผ่าน"),IF($N66&gt;=VALUE($O66),"ผ่าน","ยังไม่ถึงเป้า")))</f>
        <v/>
      </c>
    </row>
    <row r="67">
      <c r="A67" s="2">
        <f>IF(kpi_master!A53="","",kpi_master!A53)</f>
        <v/>
      </c>
      <c r="B67" s="2">
        <f>IF($A67="","",kpi_master!C53&amp;"")</f>
        <v/>
      </c>
      <c r="C67" s="2">
        <f>IF($A67="","",kpi_master!F53&amp;"")</f>
        <v/>
      </c>
      <c r="D67" s="2">
        <f>IF($A67="","",kpi_master!G53&amp;"")</f>
        <v/>
      </c>
      <c r="E67" s="2">
        <f>IF($A67="","",kpi_master!E53&amp;"")</f>
        <v/>
      </c>
      <c r="F67" s="2">
        <f>IF($A67="","",kpi_master!H53&amp;"")</f>
        <v/>
      </c>
      <c r="G67" s="2">
        <f>IF($A67="","",kpi_master!N53)</f>
        <v/>
      </c>
      <c r="H67" s="2">
        <f>IF($A67="","",COUNTIFS(monthly_entries!$B:$B,$A67,monthly_entries!$C:$C,$C$3,monthly_entries!$G:$G,"&lt;&gt;not_started"))</f>
        <v/>
      </c>
      <c r="I67" s="2">
        <f>IF($A67="","",_xlfn.MAXIFS(monthly_entries!$E:$E,monthly_entries!$B:$B,$A67,monthly_entries!$C:$C,$C$3))</f>
        <v/>
      </c>
      <c r="J67" s="2">
        <f>IF(OR($A67="",$I67=0),"",INDEX(fiscal_months!$D:$D,MATCH($C$3&amp;"|"&amp;TEXT($I67,"00"),fiscal_months!$A:$A,0)))</f>
        <v/>
      </c>
      <c r="K67" s="2">
        <f>IF($A67="","",IF($I67=0,"not_started",INDEX(monthly_entries!$G:$G,MATCH($A67&amp;"__"&amp;$J67,monthly_entries!$A:$A,0))))</f>
        <v/>
      </c>
      <c r="L67" s="2">
        <f>IF($A67="","",INDEX(ref_status!$B:$B,MATCH($K67,ref_status!$A:$A,0)))</f>
        <v/>
      </c>
      <c r="M67" s="2">
        <f>IF(OR($A67="",$I67=0),"",INDEX(monthly_entries!$H:$H,MATCH($A67&amp;"__"&amp;$J67,monthly_entries!$A:$A,0))&amp;"")</f>
        <v/>
      </c>
      <c r="N67" s="2">
        <f>IF($A67="","",IF($F67="count",SUMIFS(monthly_entries!$I:$I,monthly_entries!$B:$B,$A67,monthly_entries!$C:$C,$C$3),""))</f>
        <v/>
      </c>
      <c r="O67" s="2">
        <f>IF($A67="","",kpi_master!J53&amp;"")</f>
        <v/>
      </c>
      <c r="P67" s="2">
        <f>IF($A67="","",kpi_master!L53&amp;"")</f>
        <v/>
      </c>
      <c r="Q67" s="2">
        <f>IF(OR($A67="",$F67&lt;&gt;"count",$O67=""),"",IF($P67="lte",IF($N67&lt;=VALUE($O67),"ผ่าน","ไม่ผ่าน"),IF($N67&gt;=VALUE($O67),"ผ่าน","ยังไม่ถึงเป้า")))</f>
        <v/>
      </c>
    </row>
    <row r="68">
      <c r="A68" s="2">
        <f>IF(kpi_master!A54="","",kpi_master!A54)</f>
        <v/>
      </c>
      <c r="B68" s="2">
        <f>IF($A68="","",kpi_master!C54&amp;"")</f>
        <v/>
      </c>
      <c r="C68" s="2">
        <f>IF($A68="","",kpi_master!F54&amp;"")</f>
        <v/>
      </c>
      <c r="D68" s="2">
        <f>IF($A68="","",kpi_master!G54&amp;"")</f>
        <v/>
      </c>
      <c r="E68" s="2">
        <f>IF($A68="","",kpi_master!E54&amp;"")</f>
        <v/>
      </c>
      <c r="F68" s="2">
        <f>IF($A68="","",kpi_master!H54&amp;"")</f>
        <v/>
      </c>
      <c r="G68" s="2">
        <f>IF($A68="","",kpi_master!N54)</f>
        <v/>
      </c>
      <c r="H68" s="2">
        <f>IF($A68="","",COUNTIFS(monthly_entries!$B:$B,$A68,monthly_entries!$C:$C,$C$3,monthly_entries!$G:$G,"&lt;&gt;not_started"))</f>
        <v/>
      </c>
      <c r="I68" s="2">
        <f>IF($A68="","",_xlfn.MAXIFS(monthly_entries!$E:$E,monthly_entries!$B:$B,$A68,monthly_entries!$C:$C,$C$3))</f>
        <v/>
      </c>
      <c r="J68" s="2">
        <f>IF(OR($A68="",$I68=0),"",INDEX(fiscal_months!$D:$D,MATCH($C$3&amp;"|"&amp;TEXT($I68,"00"),fiscal_months!$A:$A,0)))</f>
        <v/>
      </c>
      <c r="K68" s="2">
        <f>IF($A68="","",IF($I68=0,"not_started",INDEX(monthly_entries!$G:$G,MATCH($A68&amp;"__"&amp;$J68,monthly_entries!$A:$A,0))))</f>
        <v/>
      </c>
      <c r="L68" s="2">
        <f>IF($A68="","",INDEX(ref_status!$B:$B,MATCH($K68,ref_status!$A:$A,0)))</f>
        <v/>
      </c>
      <c r="M68" s="2">
        <f>IF(OR($A68="",$I68=0),"",INDEX(monthly_entries!$H:$H,MATCH($A68&amp;"__"&amp;$J68,monthly_entries!$A:$A,0))&amp;"")</f>
        <v/>
      </c>
      <c r="N68" s="2">
        <f>IF($A68="","",IF($F68="count",SUMIFS(monthly_entries!$I:$I,monthly_entries!$B:$B,$A68,monthly_entries!$C:$C,$C$3),""))</f>
        <v/>
      </c>
      <c r="O68" s="2">
        <f>IF($A68="","",kpi_master!J54&amp;"")</f>
        <v/>
      </c>
      <c r="P68" s="2">
        <f>IF($A68="","",kpi_master!L54&amp;"")</f>
        <v/>
      </c>
      <c r="Q68" s="2">
        <f>IF(OR($A68="",$F68&lt;&gt;"count",$O68=""),"",IF($P68="lte",IF($N68&lt;=VALUE($O68),"ผ่าน","ไม่ผ่าน"),IF($N68&gt;=VALUE($O68),"ผ่าน","ยังไม่ถึงเป้า")))</f>
        <v/>
      </c>
    </row>
    <row r="69">
      <c r="A69" s="2">
        <f>IF(kpi_master!A55="","",kpi_master!A55)</f>
        <v/>
      </c>
      <c r="B69" s="2">
        <f>IF($A69="","",kpi_master!C55&amp;"")</f>
        <v/>
      </c>
      <c r="C69" s="2">
        <f>IF($A69="","",kpi_master!F55&amp;"")</f>
        <v/>
      </c>
      <c r="D69" s="2">
        <f>IF($A69="","",kpi_master!G55&amp;"")</f>
        <v/>
      </c>
      <c r="E69" s="2">
        <f>IF($A69="","",kpi_master!E55&amp;"")</f>
        <v/>
      </c>
      <c r="F69" s="2">
        <f>IF($A69="","",kpi_master!H55&amp;"")</f>
        <v/>
      </c>
      <c r="G69" s="2">
        <f>IF($A69="","",kpi_master!N55)</f>
        <v/>
      </c>
      <c r="H69" s="2">
        <f>IF($A69="","",COUNTIFS(monthly_entries!$B:$B,$A69,monthly_entries!$C:$C,$C$3,monthly_entries!$G:$G,"&lt;&gt;not_started"))</f>
        <v/>
      </c>
      <c r="I69" s="2">
        <f>IF($A69="","",_xlfn.MAXIFS(monthly_entries!$E:$E,monthly_entries!$B:$B,$A69,monthly_entries!$C:$C,$C$3))</f>
        <v/>
      </c>
      <c r="J69" s="2">
        <f>IF(OR($A69="",$I69=0),"",INDEX(fiscal_months!$D:$D,MATCH($C$3&amp;"|"&amp;TEXT($I69,"00"),fiscal_months!$A:$A,0)))</f>
        <v/>
      </c>
      <c r="K69" s="2">
        <f>IF($A69="","",IF($I69=0,"not_started",INDEX(monthly_entries!$G:$G,MATCH($A69&amp;"__"&amp;$J69,monthly_entries!$A:$A,0))))</f>
        <v/>
      </c>
      <c r="L69" s="2">
        <f>IF($A69="","",INDEX(ref_status!$B:$B,MATCH($K69,ref_status!$A:$A,0)))</f>
        <v/>
      </c>
      <c r="M69" s="2">
        <f>IF(OR($A69="",$I69=0),"",INDEX(monthly_entries!$H:$H,MATCH($A69&amp;"__"&amp;$J69,monthly_entries!$A:$A,0))&amp;"")</f>
        <v/>
      </c>
      <c r="N69" s="2">
        <f>IF($A69="","",IF($F69="count",SUMIFS(monthly_entries!$I:$I,monthly_entries!$B:$B,$A69,monthly_entries!$C:$C,$C$3),""))</f>
        <v/>
      </c>
      <c r="O69" s="2">
        <f>IF($A69="","",kpi_master!J55&amp;"")</f>
        <v/>
      </c>
      <c r="P69" s="2">
        <f>IF($A69="","",kpi_master!L55&amp;"")</f>
        <v/>
      </c>
      <c r="Q69" s="2">
        <f>IF(OR($A69="",$F69&lt;&gt;"count",$O69=""),"",IF($P69="lte",IF($N69&lt;=VALUE($O69),"ผ่าน","ไม่ผ่าน"),IF($N69&gt;=VALUE($O69),"ผ่าน","ยังไม่ถึงเป้า")))</f>
        <v/>
      </c>
    </row>
    <row r="70">
      <c r="A70" s="2">
        <f>IF(kpi_master!A56="","",kpi_master!A56)</f>
        <v/>
      </c>
      <c r="B70" s="2">
        <f>IF($A70="","",kpi_master!C56&amp;"")</f>
        <v/>
      </c>
      <c r="C70" s="2">
        <f>IF($A70="","",kpi_master!F56&amp;"")</f>
        <v/>
      </c>
      <c r="D70" s="2">
        <f>IF($A70="","",kpi_master!G56&amp;"")</f>
        <v/>
      </c>
      <c r="E70" s="2">
        <f>IF($A70="","",kpi_master!E56&amp;"")</f>
        <v/>
      </c>
      <c r="F70" s="2">
        <f>IF($A70="","",kpi_master!H56&amp;"")</f>
        <v/>
      </c>
      <c r="G70" s="2">
        <f>IF($A70="","",kpi_master!N56)</f>
        <v/>
      </c>
      <c r="H70" s="2">
        <f>IF($A70="","",COUNTIFS(monthly_entries!$B:$B,$A70,monthly_entries!$C:$C,$C$3,monthly_entries!$G:$G,"&lt;&gt;not_started"))</f>
        <v/>
      </c>
      <c r="I70" s="2">
        <f>IF($A70="","",_xlfn.MAXIFS(monthly_entries!$E:$E,monthly_entries!$B:$B,$A70,monthly_entries!$C:$C,$C$3))</f>
        <v/>
      </c>
      <c r="J70" s="2">
        <f>IF(OR($A70="",$I70=0),"",INDEX(fiscal_months!$D:$D,MATCH($C$3&amp;"|"&amp;TEXT($I70,"00"),fiscal_months!$A:$A,0)))</f>
        <v/>
      </c>
      <c r="K70" s="2">
        <f>IF($A70="","",IF($I70=0,"not_started",INDEX(monthly_entries!$G:$G,MATCH($A70&amp;"__"&amp;$J70,monthly_entries!$A:$A,0))))</f>
        <v/>
      </c>
      <c r="L70" s="2">
        <f>IF($A70="","",INDEX(ref_status!$B:$B,MATCH($K70,ref_status!$A:$A,0)))</f>
        <v/>
      </c>
      <c r="M70" s="2">
        <f>IF(OR($A70="",$I70=0),"",INDEX(monthly_entries!$H:$H,MATCH($A70&amp;"__"&amp;$J70,monthly_entries!$A:$A,0))&amp;"")</f>
        <v/>
      </c>
      <c r="N70" s="2">
        <f>IF($A70="","",IF($F70="count",SUMIFS(monthly_entries!$I:$I,monthly_entries!$B:$B,$A70,monthly_entries!$C:$C,$C$3),""))</f>
        <v/>
      </c>
      <c r="O70" s="2">
        <f>IF($A70="","",kpi_master!J56&amp;"")</f>
        <v/>
      </c>
      <c r="P70" s="2">
        <f>IF($A70="","",kpi_master!L56&amp;"")</f>
        <v/>
      </c>
      <c r="Q70" s="2">
        <f>IF(OR($A70="",$F70&lt;&gt;"count",$O70=""),"",IF($P70="lte",IF($N70&lt;=VALUE($O70),"ผ่าน","ไม่ผ่าน"),IF($N70&gt;=VALUE($O70),"ผ่าน","ยังไม่ถึงเป้า")))</f>
        <v/>
      </c>
    </row>
    <row r="71">
      <c r="A71" s="2">
        <f>IF(kpi_master!A57="","",kpi_master!A57)</f>
        <v/>
      </c>
      <c r="B71" s="2">
        <f>IF($A71="","",kpi_master!C57&amp;"")</f>
        <v/>
      </c>
      <c r="C71" s="2">
        <f>IF($A71="","",kpi_master!F57&amp;"")</f>
        <v/>
      </c>
      <c r="D71" s="2">
        <f>IF($A71="","",kpi_master!G57&amp;"")</f>
        <v/>
      </c>
      <c r="E71" s="2">
        <f>IF($A71="","",kpi_master!E57&amp;"")</f>
        <v/>
      </c>
      <c r="F71" s="2">
        <f>IF($A71="","",kpi_master!H57&amp;"")</f>
        <v/>
      </c>
      <c r="G71" s="2">
        <f>IF($A71="","",kpi_master!N57)</f>
        <v/>
      </c>
      <c r="H71" s="2">
        <f>IF($A71="","",COUNTIFS(monthly_entries!$B:$B,$A71,monthly_entries!$C:$C,$C$3,monthly_entries!$G:$G,"&lt;&gt;not_started"))</f>
        <v/>
      </c>
      <c r="I71" s="2">
        <f>IF($A71="","",_xlfn.MAXIFS(monthly_entries!$E:$E,monthly_entries!$B:$B,$A71,monthly_entries!$C:$C,$C$3))</f>
        <v/>
      </c>
      <c r="J71" s="2">
        <f>IF(OR($A71="",$I71=0),"",INDEX(fiscal_months!$D:$D,MATCH($C$3&amp;"|"&amp;TEXT($I71,"00"),fiscal_months!$A:$A,0)))</f>
        <v/>
      </c>
      <c r="K71" s="2">
        <f>IF($A71="","",IF($I71=0,"not_started",INDEX(monthly_entries!$G:$G,MATCH($A71&amp;"__"&amp;$J71,monthly_entries!$A:$A,0))))</f>
        <v/>
      </c>
      <c r="L71" s="2">
        <f>IF($A71="","",INDEX(ref_status!$B:$B,MATCH($K71,ref_status!$A:$A,0)))</f>
        <v/>
      </c>
      <c r="M71" s="2">
        <f>IF(OR($A71="",$I71=0),"",INDEX(monthly_entries!$H:$H,MATCH($A71&amp;"__"&amp;$J71,monthly_entries!$A:$A,0))&amp;"")</f>
        <v/>
      </c>
      <c r="N71" s="2">
        <f>IF($A71="","",IF($F71="count",SUMIFS(monthly_entries!$I:$I,monthly_entries!$B:$B,$A71,monthly_entries!$C:$C,$C$3),""))</f>
        <v/>
      </c>
      <c r="O71" s="2">
        <f>IF($A71="","",kpi_master!J57&amp;"")</f>
        <v/>
      </c>
      <c r="P71" s="2">
        <f>IF($A71="","",kpi_master!L57&amp;"")</f>
        <v/>
      </c>
      <c r="Q71" s="2">
        <f>IF(OR($A71="",$F71&lt;&gt;"count",$O71=""),"",IF($P71="lte",IF($N71&lt;=VALUE($O71),"ผ่าน","ไม่ผ่าน"),IF($N71&gt;=VALUE($O71),"ผ่าน","ยังไม่ถึงเป้า")))</f>
        <v/>
      </c>
    </row>
    <row r="72">
      <c r="A72" s="2">
        <f>IF(kpi_master!A58="","",kpi_master!A58)</f>
        <v/>
      </c>
      <c r="B72" s="2">
        <f>IF($A72="","",kpi_master!C58&amp;"")</f>
        <v/>
      </c>
      <c r="C72" s="2">
        <f>IF($A72="","",kpi_master!F58&amp;"")</f>
        <v/>
      </c>
      <c r="D72" s="2">
        <f>IF($A72="","",kpi_master!G58&amp;"")</f>
        <v/>
      </c>
      <c r="E72" s="2">
        <f>IF($A72="","",kpi_master!E58&amp;"")</f>
        <v/>
      </c>
      <c r="F72" s="2">
        <f>IF($A72="","",kpi_master!H58&amp;"")</f>
        <v/>
      </c>
      <c r="G72" s="2">
        <f>IF($A72="","",kpi_master!N58)</f>
        <v/>
      </c>
      <c r="H72" s="2">
        <f>IF($A72="","",COUNTIFS(monthly_entries!$B:$B,$A72,monthly_entries!$C:$C,$C$3,monthly_entries!$G:$G,"&lt;&gt;not_started"))</f>
        <v/>
      </c>
      <c r="I72" s="2">
        <f>IF($A72="","",_xlfn.MAXIFS(monthly_entries!$E:$E,monthly_entries!$B:$B,$A72,monthly_entries!$C:$C,$C$3))</f>
        <v/>
      </c>
      <c r="J72" s="2">
        <f>IF(OR($A72="",$I72=0),"",INDEX(fiscal_months!$D:$D,MATCH($C$3&amp;"|"&amp;TEXT($I72,"00"),fiscal_months!$A:$A,0)))</f>
        <v/>
      </c>
      <c r="K72" s="2">
        <f>IF($A72="","",IF($I72=0,"not_started",INDEX(monthly_entries!$G:$G,MATCH($A72&amp;"__"&amp;$J72,monthly_entries!$A:$A,0))))</f>
        <v/>
      </c>
      <c r="L72" s="2">
        <f>IF($A72="","",INDEX(ref_status!$B:$B,MATCH($K72,ref_status!$A:$A,0)))</f>
        <v/>
      </c>
      <c r="M72" s="2">
        <f>IF(OR($A72="",$I72=0),"",INDEX(monthly_entries!$H:$H,MATCH($A72&amp;"__"&amp;$J72,monthly_entries!$A:$A,0))&amp;"")</f>
        <v/>
      </c>
      <c r="N72" s="2">
        <f>IF($A72="","",IF($F72="count",SUMIFS(monthly_entries!$I:$I,monthly_entries!$B:$B,$A72,monthly_entries!$C:$C,$C$3),""))</f>
        <v/>
      </c>
      <c r="O72" s="2">
        <f>IF($A72="","",kpi_master!J58&amp;"")</f>
        <v/>
      </c>
      <c r="P72" s="2">
        <f>IF($A72="","",kpi_master!L58&amp;"")</f>
        <v/>
      </c>
      <c r="Q72" s="2">
        <f>IF(OR($A72="",$F72&lt;&gt;"count",$O72=""),"",IF($P72="lte",IF($N72&lt;=VALUE($O72),"ผ่าน","ไม่ผ่าน"),IF($N72&gt;=VALUE($O72),"ผ่าน","ยังไม่ถึงเป้า")))</f>
        <v/>
      </c>
    </row>
    <row r="73">
      <c r="A73" s="2">
        <f>IF(kpi_master!A59="","",kpi_master!A59)</f>
        <v/>
      </c>
      <c r="B73" s="2">
        <f>IF($A73="","",kpi_master!C59&amp;"")</f>
        <v/>
      </c>
      <c r="C73" s="2">
        <f>IF($A73="","",kpi_master!F59&amp;"")</f>
        <v/>
      </c>
      <c r="D73" s="2">
        <f>IF($A73="","",kpi_master!G59&amp;"")</f>
        <v/>
      </c>
      <c r="E73" s="2">
        <f>IF($A73="","",kpi_master!E59&amp;"")</f>
        <v/>
      </c>
      <c r="F73" s="2">
        <f>IF($A73="","",kpi_master!H59&amp;"")</f>
        <v/>
      </c>
      <c r="G73" s="2">
        <f>IF($A73="","",kpi_master!N59)</f>
        <v/>
      </c>
      <c r="H73" s="2">
        <f>IF($A73="","",COUNTIFS(monthly_entries!$B:$B,$A73,monthly_entries!$C:$C,$C$3,monthly_entries!$G:$G,"&lt;&gt;not_started"))</f>
        <v/>
      </c>
      <c r="I73" s="2">
        <f>IF($A73="","",_xlfn.MAXIFS(monthly_entries!$E:$E,monthly_entries!$B:$B,$A73,monthly_entries!$C:$C,$C$3))</f>
        <v/>
      </c>
      <c r="J73" s="2">
        <f>IF(OR($A73="",$I73=0),"",INDEX(fiscal_months!$D:$D,MATCH($C$3&amp;"|"&amp;TEXT($I73,"00"),fiscal_months!$A:$A,0)))</f>
        <v/>
      </c>
      <c r="K73" s="2">
        <f>IF($A73="","",IF($I73=0,"not_started",INDEX(monthly_entries!$G:$G,MATCH($A73&amp;"__"&amp;$J73,monthly_entries!$A:$A,0))))</f>
        <v/>
      </c>
      <c r="L73" s="2">
        <f>IF($A73="","",INDEX(ref_status!$B:$B,MATCH($K73,ref_status!$A:$A,0)))</f>
        <v/>
      </c>
      <c r="M73" s="2">
        <f>IF(OR($A73="",$I73=0),"",INDEX(monthly_entries!$H:$H,MATCH($A73&amp;"__"&amp;$J73,monthly_entries!$A:$A,0))&amp;"")</f>
        <v/>
      </c>
      <c r="N73" s="2">
        <f>IF($A73="","",IF($F73="count",SUMIFS(monthly_entries!$I:$I,monthly_entries!$B:$B,$A73,monthly_entries!$C:$C,$C$3),""))</f>
        <v/>
      </c>
      <c r="O73" s="2">
        <f>IF($A73="","",kpi_master!J59&amp;"")</f>
        <v/>
      </c>
      <c r="P73" s="2">
        <f>IF($A73="","",kpi_master!L59&amp;"")</f>
        <v/>
      </c>
      <c r="Q73" s="2">
        <f>IF(OR($A73="",$F73&lt;&gt;"count",$O73=""),"",IF($P73="lte",IF($N73&lt;=VALUE($O73),"ผ่าน","ไม่ผ่าน"),IF($N73&gt;=VALUE($O73),"ผ่าน","ยังไม่ถึงเป้า")))</f>
        <v/>
      </c>
    </row>
    <row r="74">
      <c r="A74" s="2">
        <f>IF(kpi_master!A60="","",kpi_master!A60)</f>
        <v/>
      </c>
      <c r="B74" s="2">
        <f>IF($A74="","",kpi_master!C60&amp;"")</f>
        <v/>
      </c>
      <c r="C74" s="2">
        <f>IF($A74="","",kpi_master!F60&amp;"")</f>
        <v/>
      </c>
      <c r="D74" s="2">
        <f>IF($A74="","",kpi_master!G60&amp;"")</f>
        <v/>
      </c>
      <c r="E74" s="2">
        <f>IF($A74="","",kpi_master!E60&amp;"")</f>
        <v/>
      </c>
      <c r="F74" s="2">
        <f>IF($A74="","",kpi_master!H60&amp;"")</f>
        <v/>
      </c>
      <c r="G74" s="2">
        <f>IF($A74="","",kpi_master!N60)</f>
        <v/>
      </c>
      <c r="H74" s="2">
        <f>IF($A74="","",COUNTIFS(monthly_entries!$B:$B,$A74,monthly_entries!$C:$C,$C$3,monthly_entries!$G:$G,"&lt;&gt;not_started"))</f>
        <v/>
      </c>
      <c r="I74" s="2">
        <f>IF($A74="","",_xlfn.MAXIFS(monthly_entries!$E:$E,monthly_entries!$B:$B,$A74,monthly_entries!$C:$C,$C$3))</f>
        <v/>
      </c>
      <c r="J74" s="2">
        <f>IF(OR($A74="",$I74=0),"",INDEX(fiscal_months!$D:$D,MATCH($C$3&amp;"|"&amp;TEXT($I74,"00"),fiscal_months!$A:$A,0)))</f>
        <v/>
      </c>
      <c r="K74" s="2">
        <f>IF($A74="","",IF($I74=0,"not_started",INDEX(monthly_entries!$G:$G,MATCH($A74&amp;"__"&amp;$J74,monthly_entries!$A:$A,0))))</f>
        <v/>
      </c>
      <c r="L74" s="2">
        <f>IF($A74="","",INDEX(ref_status!$B:$B,MATCH($K74,ref_status!$A:$A,0)))</f>
        <v/>
      </c>
      <c r="M74" s="2">
        <f>IF(OR($A74="",$I74=0),"",INDEX(monthly_entries!$H:$H,MATCH($A74&amp;"__"&amp;$J74,monthly_entries!$A:$A,0))&amp;"")</f>
        <v/>
      </c>
      <c r="N74" s="2">
        <f>IF($A74="","",IF($F74="count",SUMIFS(monthly_entries!$I:$I,monthly_entries!$B:$B,$A74,monthly_entries!$C:$C,$C$3),""))</f>
        <v/>
      </c>
      <c r="O74" s="2">
        <f>IF($A74="","",kpi_master!J60&amp;"")</f>
        <v/>
      </c>
      <c r="P74" s="2">
        <f>IF($A74="","",kpi_master!L60&amp;"")</f>
        <v/>
      </c>
      <c r="Q74" s="2">
        <f>IF(OR($A74="",$F74&lt;&gt;"count",$O74=""),"",IF($P74="lte",IF($N74&lt;=VALUE($O74),"ผ่าน","ไม่ผ่าน"),IF($N74&gt;=VALUE($O74),"ผ่าน","ยังไม่ถึงเป้า")))</f>
        <v/>
      </c>
    </row>
    <row r="75">
      <c r="A75" s="2">
        <f>IF(kpi_master!A61="","",kpi_master!A61)</f>
        <v/>
      </c>
      <c r="B75" s="2">
        <f>IF($A75="","",kpi_master!C61&amp;"")</f>
        <v/>
      </c>
      <c r="C75" s="2">
        <f>IF($A75="","",kpi_master!F61&amp;"")</f>
        <v/>
      </c>
      <c r="D75" s="2">
        <f>IF($A75="","",kpi_master!G61&amp;"")</f>
        <v/>
      </c>
      <c r="E75" s="2">
        <f>IF($A75="","",kpi_master!E61&amp;"")</f>
        <v/>
      </c>
      <c r="F75" s="2">
        <f>IF($A75="","",kpi_master!H61&amp;"")</f>
        <v/>
      </c>
      <c r="G75" s="2">
        <f>IF($A75="","",kpi_master!N61)</f>
        <v/>
      </c>
      <c r="H75" s="2">
        <f>IF($A75="","",COUNTIFS(monthly_entries!$B:$B,$A75,monthly_entries!$C:$C,$C$3,monthly_entries!$G:$G,"&lt;&gt;not_started"))</f>
        <v/>
      </c>
      <c r="I75" s="2">
        <f>IF($A75="","",_xlfn.MAXIFS(monthly_entries!$E:$E,monthly_entries!$B:$B,$A75,monthly_entries!$C:$C,$C$3))</f>
        <v/>
      </c>
      <c r="J75" s="2">
        <f>IF(OR($A75="",$I75=0),"",INDEX(fiscal_months!$D:$D,MATCH($C$3&amp;"|"&amp;TEXT($I75,"00"),fiscal_months!$A:$A,0)))</f>
        <v/>
      </c>
      <c r="K75" s="2">
        <f>IF($A75="","",IF($I75=0,"not_started",INDEX(monthly_entries!$G:$G,MATCH($A75&amp;"__"&amp;$J75,monthly_entries!$A:$A,0))))</f>
        <v/>
      </c>
      <c r="L75" s="2">
        <f>IF($A75="","",INDEX(ref_status!$B:$B,MATCH($K75,ref_status!$A:$A,0)))</f>
        <v/>
      </c>
      <c r="M75" s="2">
        <f>IF(OR($A75="",$I75=0),"",INDEX(monthly_entries!$H:$H,MATCH($A75&amp;"__"&amp;$J75,monthly_entries!$A:$A,0))&amp;"")</f>
        <v/>
      </c>
      <c r="N75" s="2">
        <f>IF($A75="","",IF($F75="count",SUMIFS(monthly_entries!$I:$I,monthly_entries!$B:$B,$A75,monthly_entries!$C:$C,$C$3),""))</f>
        <v/>
      </c>
      <c r="O75" s="2">
        <f>IF($A75="","",kpi_master!J61&amp;"")</f>
        <v/>
      </c>
      <c r="P75" s="2">
        <f>IF($A75="","",kpi_master!L61&amp;"")</f>
        <v/>
      </c>
      <c r="Q75" s="2">
        <f>IF(OR($A75="",$F75&lt;&gt;"count",$O75=""),"",IF($P75="lte",IF($N75&lt;=VALUE($O75),"ผ่าน","ไม่ผ่าน"),IF($N75&gt;=VALUE($O75),"ผ่าน","ยังไม่ถึงเป้า")))</f>
        <v/>
      </c>
    </row>
  </sheetData>
  <mergeCells count="5">
    <mergeCell ref="A7:B7"/>
    <mergeCell ref="A5:B5"/>
    <mergeCell ref="A9:B9"/>
    <mergeCell ref="A8:B8"/>
    <mergeCell ref="A6:B6"/>
  </mergeCells>
  <conditionalFormatting sqref="K16:L75">
    <cfRule type="expression" priority="1" dxfId="0">
      <formula>$K16="done"</formula>
    </cfRule>
    <cfRule type="expression" priority="2" dxfId="1">
      <formula>$K16="in_progress"</formula>
    </cfRule>
    <cfRule type="expression" priority="3" dxfId="2">
      <formula>$K16="delayed"</formula>
    </cfRule>
  </conditionalFormatting>
  <conditionalFormatting sqref="Q16:Q75">
    <cfRule type="cellIs" priority="4" operator="equal" dxfId="3">
      <formula>"ผ่าน"</formula>
    </cfRule>
    <cfRule type="cellIs" priority="5" operator="equal" dxfId="4">
      <formula>"ไม่ผ่าน"</formula>
    </cfRule>
  </conditionalFormatting>
  <dataValidations count="1">
    <dataValidation sqref="C3" showDropDown="0" showInputMessage="0" showErrorMessage="0" allowBlank="1" type="list">
      <formula1>=fiscal_months!$B$2:$B$500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26" customWidth="1" min="5" max="5"/>
    <col width="40" customWidth="1" min="6" max="6"/>
    <col width="40" customWidth="1" min="7" max="7"/>
    <col width="12" customWidth="1" min="8" max="8"/>
    <col width="18" customWidth="1" min="9" max="9"/>
    <col width="11" customWidth="1" min="10" max="10"/>
    <col width="11" customWidth="1" min="11" max="11"/>
    <col width="15" customWidth="1" min="12" max="12"/>
    <col width="60" customWidth="1" min="13" max="13"/>
    <col width="10" customWidth="1" min="14" max="14"/>
    <col width="12" customWidth="1" min="15" max="15"/>
    <col width="12" customWidth="1" min="16" max="16"/>
  </cols>
  <sheetData>
    <row r="1">
      <c r="A1" s="7" t="inlineStr">
        <is>
          <t>kpi_id</t>
        </is>
      </c>
      <c r="B1" s="7" t="inlineStr">
        <is>
          <t>kpi_no</t>
        </is>
      </c>
      <c r="C1" s="7" t="inlineStr">
        <is>
          <t>group_code</t>
        </is>
      </c>
      <c r="D1" s="7" t="inlineStr">
        <is>
          <t>category</t>
        </is>
      </c>
      <c r="E1" s="7" t="inlineStr">
        <is>
          <t>owner_text</t>
        </is>
      </c>
      <c r="F1" s="7" t="inlineStr">
        <is>
          <t>task_name</t>
        </is>
      </c>
      <c r="G1" s="7" t="inlineStr">
        <is>
          <t>kpi_name</t>
        </is>
      </c>
      <c r="H1" s="7" t="inlineStr">
        <is>
          <t>metric_type</t>
        </is>
      </c>
      <c r="I1" s="7" t="inlineStr">
        <is>
          <t>target_text</t>
        </is>
      </c>
      <c r="J1" s="7" t="inlineStr">
        <is>
          <t>target_num</t>
        </is>
      </c>
      <c r="K1" s="7" t="inlineStr">
        <is>
          <t>target_unit</t>
        </is>
      </c>
      <c r="L1" s="7" t="inlineStr">
        <is>
          <t>target_direction</t>
        </is>
      </c>
      <c r="M1" s="7" t="inlineStr">
        <is>
          <t>activity_note</t>
        </is>
      </c>
      <c r="N1" s="7" t="inlineStr">
        <is>
          <t>is_active</t>
        </is>
      </c>
      <c r="O1" s="7" t="inlineStr">
        <is>
          <t>created_at</t>
        </is>
      </c>
      <c r="P1" s="7" t="inlineStr">
        <is>
          <t>updated_at</t>
        </is>
      </c>
    </row>
    <row r="2">
      <c r="A2" s="10" t="inlineStr">
        <is>
          <t>K01</t>
        </is>
      </c>
      <c r="B2" s="11" t="inlineStr">
        <is>
          <t>1</t>
        </is>
      </c>
      <c r="C2" s="10" t="inlineStr">
        <is>
          <t>dept</t>
        </is>
      </c>
      <c r="D2" s="10" t="inlineStr">
        <is>
          <t>หมวด 1</t>
        </is>
      </c>
      <c r="E2" s="10" t="inlineStr">
        <is>
          <t>หัวหน้าแผนก</t>
        </is>
      </c>
      <c r="F2" s="10" t="inlineStr">
        <is>
          <t>จัดทำแผนแม่บทดิจิทัล (Digital Master Plan) 2568–2570</t>
        </is>
      </c>
      <c r="G2" s="10" t="inlineStr">
        <is>
          <t>ความคืบหน้าการจัดทำแผนแม่บทฉบับสมบูรณ์ (7 บท)</t>
        </is>
      </c>
      <c r="H2" s="10" t="inlineStr">
        <is>
          <t>percent</t>
        </is>
      </c>
      <c r="I2" s="10" t="inlineStr">
        <is>
          <t>100%</t>
        </is>
      </c>
      <c r="J2" s="10" t="n"/>
      <c r="K2" s="10" t="n"/>
      <c r="L2" s="10" t="n"/>
      <c r="M2" s="10" t="inlineStr">
        <is>
          <t>ครอบคลุมประวัติความเป็นมา ข้อมูลพื้นฐาน กรอบยุทธศาสตร์ การวิเคราะห์องค์กร แผนปฏิบัติการ แผนดิจิทัล และการติดตามผล แต่ละบทรายงานความคืบหน้าเป็นร้อยละรายเดือน</t>
        </is>
      </c>
      <c r="N2" s="10" t="b">
        <v>1</v>
      </c>
      <c r="O2" s="10" t="inlineStr">
        <is>
          <t>2026-10-05</t>
        </is>
      </c>
      <c r="P2" s="10" t="n"/>
    </row>
    <row r="3">
      <c r="A3" s="10" t="inlineStr">
        <is>
          <t>K02</t>
        </is>
      </c>
      <c r="B3" s="11" t="inlineStr">
        <is>
          <t>2</t>
        </is>
      </c>
      <c r="C3" s="10" t="inlineStr">
        <is>
          <t>dept</t>
        </is>
      </c>
      <c r="D3" s="10" t="inlineStr">
        <is>
          <t>หมวด 2, 7</t>
        </is>
      </c>
      <c r="E3" s="10" t="inlineStr">
        <is>
          <t>โอม</t>
        </is>
      </c>
      <c r="F3" s="10" t="inlineStr">
        <is>
          <t>ทะเบียนทรัพยากรด้าน IT</t>
        </is>
      </c>
      <c r="G3" s="10" t="inlineStr">
        <is>
          <t>ร้อยละของทรัพยากร IT ที่บันทึกในทะเบียนครบถ้วน</t>
        </is>
      </c>
      <c r="H3" s="10" t="inlineStr">
        <is>
          <t>percent</t>
        </is>
      </c>
      <c r="I3" s="10" t="inlineStr">
        <is>
          <t>100%</t>
        </is>
      </c>
      <c r="J3" s="10" t="n"/>
      <c r="K3" s="10" t="n"/>
      <c r="L3" s="10" t="n"/>
      <c r="M3" s="10" t="inlineStr">
        <is>
          <t>ครอบคลุม Hardware (เทียบ SAP: ID, ชื่อ, ประเภท, ผู้ดูแล, วันที่รับเข้า, สถานที่, Spec), Network (เทียบ Location ผ่านระบบ Huawei I-Master และบันทึกใน GLPI) และ Software (ซื้อ/เช่า และพัฒนาเอง 18 ระบบ พร้อมระบุลิขสิทธิ์ของมหาวิทยาลัย)</t>
        </is>
      </c>
      <c r="N3" s="10" t="b">
        <v>1</v>
      </c>
      <c r="O3" s="10" t="inlineStr">
        <is>
          <t>2026-10-05</t>
        </is>
      </c>
      <c r="P3" s="10" t="n"/>
    </row>
    <row r="4">
      <c r="A4" s="10" t="inlineStr">
        <is>
          <t>K03</t>
        </is>
      </c>
      <c r="B4" s="11" t="inlineStr">
        <is>
          <t>3</t>
        </is>
      </c>
      <c r="C4" s="10" t="inlineStr">
        <is>
          <t>dept</t>
        </is>
      </c>
      <c r="D4" s="10" t="inlineStr">
        <is>
          <t>หมวด 2</t>
        </is>
      </c>
      <c r="E4" s="10" t="inlineStr">
        <is>
          <t>โอม</t>
        </is>
      </c>
      <c r="F4" s="10" t="inlineStr">
        <is>
          <t>การจัดการความเสี่ยงด้าน IT</t>
        </is>
      </c>
      <c r="G4" s="10" t="inlineStr">
        <is>
          <t>ร้อยละความสมบูรณ์ของรายงานประเมินความเสี่ยง</t>
        </is>
      </c>
      <c r="H4" s="10" t="inlineStr">
        <is>
          <t>percent</t>
        </is>
      </c>
      <c r="I4" s="10" t="inlineStr">
        <is>
          <t>100%</t>
        </is>
      </c>
      <c r="J4" s="10" t="n"/>
      <c r="K4" s="10" t="n"/>
      <c r="L4" s="10" t="n"/>
      <c r="M4" s="10" t="inlineStr">
        <is>
          <t>จัดทำรายงานประเมินความเสี่ยงด้าน IT ให้ครบทุกหัวข้อ พร้อมปกรายงานเรียบร้อย และยื่นต่อคณะกรรมการดิจิทัล / คณะกรรมการอำนวยการ HAIT ตามรอบที่กำหนด</t>
        </is>
      </c>
      <c r="N4" s="10" t="b">
        <v>1</v>
      </c>
      <c r="O4" s="10" t="inlineStr">
        <is>
          <t>2026-10-05</t>
        </is>
      </c>
      <c r="P4" s="10" t="n"/>
    </row>
    <row r="5">
      <c r="A5" s="10" t="inlineStr">
        <is>
          <t>K04</t>
        </is>
      </c>
      <c r="B5" s="11" t="inlineStr">
        <is>
          <t>4</t>
        </is>
      </c>
      <c r="C5" s="10" t="inlineStr">
        <is>
          <t>dept</t>
        </is>
      </c>
      <c r="D5" s="10" t="inlineStr">
        <is>
          <t>หมวด 3</t>
        </is>
      </c>
      <c r="E5" s="10" t="inlineStr">
        <is>
          <t>พี่หมื่น</t>
        </is>
      </c>
      <c r="F5" s="10" t="inlineStr">
        <is>
          <t>ความมั่นคงปลอดภัยระบบเทคโนโลยีสารสนเทศ</t>
        </is>
      </c>
      <c r="G5" s="10" t="inlineStr">
        <is>
          <t>ร้อยละรายงานประเมินผลผู้ใช้งานต่อนโยบาย/ระเบียบ</t>
        </is>
      </c>
      <c r="H5" s="10" t="inlineStr">
        <is>
          <t>percent</t>
        </is>
      </c>
      <c r="I5" s="10" t="inlineStr">
        <is>
          <t>100%</t>
        </is>
      </c>
      <c r="J5" s="10" t="n"/>
      <c r="K5" s="10" t="n"/>
      <c r="L5" s="10" t="n"/>
      <c r="M5" s="10" t="inlineStr">
        <is>
          <t>จัดทำแบบประเมินความเข้าใจของผู้ใช้งานต่อนโยบาย/ระเบียบด้านความมั่นคงปลอดภัยสารสนเทศ กรอกผลเป็นร้อยละรายเดือน เริ่มตั้งแต่เดือนมกราคมเป็นต้นไป</t>
        </is>
      </c>
      <c r="N5" s="10" t="b">
        <v>1</v>
      </c>
      <c r="O5" s="10" t="inlineStr">
        <is>
          <t>2026-10-05</t>
        </is>
      </c>
      <c r="P5" s="10" t="n"/>
    </row>
    <row r="6">
      <c r="A6" s="10" t="inlineStr">
        <is>
          <t>K05</t>
        </is>
      </c>
      <c r="B6" s="11" t="inlineStr">
        <is>
          <t>5</t>
        </is>
      </c>
      <c r="C6" s="10" t="inlineStr">
        <is>
          <t>dept</t>
        </is>
      </c>
      <c r="D6" s="10" t="inlineStr">
        <is>
          <t>หมวด 3</t>
        </is>
      </c>
      <c r="E6" s="10" t="inlineStr">
        <is>
          <t>พี่นก</t>
        </is>
      </c>
      <c r="F6" s="10" t="inlineStr">
        <is>
          <t>แผนรองรับเหตุฉุกเฉิน (BCP) เมื่อระบบคอมพิวเตอร์ใช้งานไม่ได้</t>
        </is>
      </c>
      <c r="G6" s="10" t="inlineStr">
        <is>
          <t>จำนวนแผน BCP ที่จัดทำแล้วเสร็จ</t>
        </is>
      </c>
      <c r="H6" s="10" t="inlineStr">
        <is>
          <t>count</t>
        </is>
      </c>
      <c r="I6" s="10" t="inlineStr">
        <is>
          <t>&gt;= 7 แผน</t>
        </is>
      </c>
      <c r="J6" s="10" t="n">
        <v>7</v>
      </c>
      <c r="K6" s="10" t="inlineStr">
        <is>
          <t>แผน</t>
        </is>
      </c>
      <c r="L6" s="10" t="inlineStr">
        <is>
          <t>gte</t>
        </is>
      </c>
      <c r="M6" s="10" t="inlineStr">
        <is>
          <t>จัดทำและซ้อมแผน BCP ให้ครอบคลุมหน่วยงานที่ได้รับผลกระทบ เทียบจากทั้งหมด 27 หน่วยงานในโรงพยาบาล นับจำนวนแผนที่จัดทำแล้วเสร็จและผ่านการซ้อมแผนตามกำหนด</t>
        </is>
      </c>
      <c r="N6" s="10" t="b">
        <v>1</v>
      </c>
      <c r="O6" s="10" t="inlineStr">
        <is>
          <t>2026-10-05</t>
        </is>
      </c>
      <c r="P6" s="10" t="n"/>
    </row>
    <row r="7">
      <c r="A7" s="10" t="inlineStr">
        <is>
          <t>K06</t>
        </is>
      </c>
      <c r="B7" s="11" t="inlineStr">
        <is>
          <t>6</t>
        </is>
      </c>
      <c r="C7" s="10" t="inlineStr">
        <is>
          <t>dept</t>
        </is>
      </c>
      <c r="D7" s="10" t="inlineStr">
        <is>
          <t>หมวด 3</t>
        </is>
      </c>
      <c r="E7" s="10" t="inlineStr">
        <is>
          <t>กลุ่มงานโครงสร้างพื้นฐานดิจิทัลทางการแพทย์</t>
        </is>
      </c>
      <c r="F7" s="10" t="inlineStr">
        <is>
          <t>งาน Cyber Security</t>
        </is>
      </c>
      <c r="G7" s="10" t="inlineStr">
        <is>
          <t>ร้อยละ Case ระดับ High จากการโจมตีทาง Cyber ที่ลดระดับความเสี่ยงลงได้</t>
        </is>
      </c>
      <c r="H7" s="10" t="inlineStr">
        <is>
          <t>percent</t>
        </is>
      </c>
      <c r="I7" s="10" t="inlineStr">
        <is>
          <t>100%</t>
        </is>
      </c>
      <c r="J7" s="10" t="n"/>
      <c r="K7" s="10" t="n"/>
      <c r="L7" s="10" t="n"/>
      <c r="M7" s="10" t="inlineStr">
        <is>
          <t>ครอบคลุมแนวป้องกัน (แผนต่ออายุ/จัดซื้อระบบป้องกันภัยไซเบอร์) และแนวกู้คืนเมื่อถูกโจมตี บันทึกจำนวนครั้งที่ระบบล่มจากเหตุ Cyber และติดตามจนกว่า Case ระดับ High จะลดลงเป็น Medium/Low</t>
        </is>
      </c>
      <c r="N7" s="10" t="b">
        <v>1</v>
      </c>
      <c r="O7" s="10" t="inlineStr">
        <is>
          <t>2026-10-05</t>
        </is>
      </c>
      <c r="P7" s="10" t="n"/>
    </row>
    <row r="8">
      <c r="A8" s="10" t="inlineStr">
        <is>
          <t>K07</t>
        </is>
      </c>
      <c r="B8" s="11" t="inlineStr">
        <is>
          <t>7</t>
        </is>
      </c>
      <c r="C8" s="10" t="inlineStr">
        <is>
          <t>dept</t>
        </is>
      </c>
      <c r="D8" s="10" t="inlineStr">
        <is>
          <t>หมวด 4</t>
        </is>
      </c>
      <c r="E8" s="10" t="inlineStr">
        <is>
          <t>รีซะห์</t>
        </is>
      </c>
      <c r="F8" s="10" t="inlineStr">
        <is>
          <t>งานบริหารจัดการอุบัติการณ์ (Incident Management)</t>
        </is>
      </c>
      <c r="G8" s="10" t="inlineStr">
        <is>
          <t>ร้อยละเคสที่ตอบสนอง (Respond) ได้ตาม SLA</t>
        </is>
      </c>
      <c r="H8" s="10" t="inlineStr">
        <is>
          <t>percent</t>
        </is>
      </c>
      <c r="I8" s="10" t="inlineStr">
        <is>
          <t>&gt;= 85%</t>
        </is>
      </c>
      <c r="J8" s="10" t="n"/>
      <c r="K8" s="10" t="n"/>
      <c r="L8" s="10" t="inlineStr">
        <is>
          <t>gte</t>
        </is>
      </c>
      <c r="M8" s="10" t="inlineStr">
        <is>
          <t>แยกตามหมวด Software และ Hardware ตามระดับ SLA ที่กำหนด (เช่น คำนวณจาก 3 หมวด อย่างละ 15 นาที) วัดจากระยะเวลาตอบสนองปัญหาและอุบัติการณ์เทียบกับข้อตกลงระดับบริการของโรงพยาบาล</t>
        </is>
      </c>
      <c r="N8" s="10" t="b">
        <v>1</v>
      </c>
      <c r="O8" s="10" t="inlineStr">
        <is>
          <t>2026-10-05</t>
        </is>
      </c>
      <c r="P8" s="10" t="n"/>
    </row>
    <row r="9">
      <c r="A9" s="10" t="inlineStr">
        <is>
          <t>K08</t>
        </is>
      </c>
      <c r="B9" s="11" t="inlineStr">
        <is>
          <t>8</t>
        </is>
      </c>
      <c r="C9" s="10" t="inlineStr">
        <is>
          <t>dept</t>
        </is>
      </c>
      <c r="D9" s="10" t="inlineStr">
        <is>
          <t>หมวด 4</t>
        </is>
      </c>
      <c r="E9" s="10" t="inlineStr">
        <is>
          <t>ทีมงาน IT</t>
        </is>
      </c>
      <c r="F9" s="10" t="inlineStr">
        <is>
          <t>ความพึงพอใจต่อการให้บริการของแผนก IT</t>
        </is>
      </c>
      <c r="G9" s="10" t="inlineStr">
        <is>
          <t>ร้อยละความพึงพอใจเฉลี่ย (ตามใบงานและระบบ)</t>
        </is>
      </c>
      <c r="H9" s="10" t="inlineStr">
        <is>
          <t>percent</t>
        </is>
      </c>
      <c r="I9" s="10" t="inlineStr">
        <is>
          <t>&gt;= 90%</t>
        </is>
      </c>
      <c r="J9" s="10" t="n"/>
      <c r="K9" s="10" t="n"/>
      <c r="L9" s="10" t="inlineStr">
        <is>
          <t>gte</t>
        </is>
      </c>
      <c r="M9" s="10" t="inlineStr">
        <is>
          <t>รายงานแยกความพึงพอใจตามใบงาน (การดูแล/บริการ) และความพึงพอใจต่อการใช้งานระบบ พร้อมสรุปค่าเฉลี่ยรวม และแจกเป็น KPI รายบุคคลด้วย</t>
        </is>
      </c>
      <c r="N9" s="10" t="b">
        <v>1</v>
      </c>
      <c r="O9" s="10" t="inlineStr">
        <is>
          <t>2026-10-05</t>
        </is>
      </c>
      <c r="P9" s="10" t="n"/>
    </row>
    <row r="10">
      <c r="A10" s="10" t="inlineStr">
        <is>
          <t>K09</t>
        </is>
      </c>
      <c r="B10" s="11" t="inlineStr">
        <is>
          <t>9</t>
        </is>
      </c>
      <c r="C10" s="10" t="inlineStr">
        <is>
          <t>dept</t>
        </is>
      </c>
      <c r="D10" s="10" t="n"/>
      <c r="E10" s="10" t="inlineStr">
        <is>
          <t>หมื่น, รีซะห์, พี่นก, พี่ก้อย</t>
        </is>
      </c>
      <c r="F10" s="10" t="inlineStr">
        <is>
          <t>งานดูแลระบบ WU-HIS ให้พร้อมใช้งาน</t>
        </is>
      </c>
      <c r="G10" s="10" t="inlineStr">
        <is>
          <t>จำนวนครั้งที่ระบบล่มและมีการประกาศ Code IT</t>
        </is>
      </c>
      <c r="H10" s="10" t="inlineStr">
        <is>
          <t>count</t>
        </is>
      </c>
      <c r="I10" s="10" t="inlineStr">
        <is>
          <t>&lt;= 2 ครั้ง</t>
        </is>
      </c>
      <c r="J10" s="10" t="n">
        <v>2</v>
      </c>
      <c r="K10" s="10" t="inlineStr">
        <is>
          <t>ครั้ง</t>
        </is>
      </c>
      <c r="L10" s="10" t="inlineStr">
        <is>
          <t>lte</t>
        </is>
      </c>
      <c r="M10" s="10" t="inlineStr">
        <is>
          <t>นับเฉพาะกรณี Code IT ที่นานกว่า 30 นาที และกระทบทุกจุดบริการ (ไม่นับกรณีที่เกิดจากไฟฟ้าดับ) ทีมร่วมรับผิดชอบดูแลให้ระบบ WU-HIS พร้อมใช้งานตลอดปี</t>
        </is>
      </c>
      <c r="N10" s="10" t="b">
        <v>1</v>
      </c>
      <c r="O10" s="10" t="inlineStr">
        <is>
          <t>2026-10-05</t>
        </is>
      </c>
      <c r="P10" s="10" t="n"/>
    </row>
    <row r="11">
      <c r="A11" s="10" t="inlineStr">
        <is>
          <t>K10</t>
        </is>
      </c>
      <c r="B11" s="11" t="inlineStr">
        <is>
          <t>10</t>
        </is>
      </c>
      <c r="C11" s="10" t="inlineStr">
        <is>
          <t>dept</t>
        </is>
      </c>
      <c r="D11" s="10" t="inlineStr">
        <is>
          <t>หมวด 5</t>
        </is>
      </c>
      <c r="E11" s="10" t="inlineStr">
        <is>
          <t>พี่ก้อย</t>
        </is>
      </c>
      <c r="F11" s="10" t="inlineStr">
        <is>
          <t>งานพัฒนาโปรแกรมสนับสนุนการส่งเบิก</t>
        </is>
      </c>
      <c r="G11" s="10" t="inlineStr">
        <is>
          <t>ร้อยละความสำเร็จในการพัฒนาโปรแกรมเพื่อการส่งเบิก</t>
        </is>
      </c>
      <c r="H11" s="10" t="inlineStr">
        <is>
          <t>percent</t>
        </is>
      </c>
      <c r="I11" s="10" t="inlineStr">
        <is>
          <t>100%</t>
        </is>
      </c>
      <c r="J11" s="10" t="n"/>
      <c r="K11" s="10" t="n"/>
      <c r="L11" s="10" t="n"/>
      <c r="M11" s="10" t="inlineStr">
        <is>
          <t>เทียบกับโครงการที่มีข้อมูลครบถ้วนตามเกณฑ์ (มีทั้งหมด 5 โครงการ นับเฉพาะโครงการที่ได้รับข้อมูลครบพร้อมพัฒนา)</t>
        </is>
      </c>
      <c r="N11" s="10" t="b">
        <v>1</v>
      </c>
      <c r="O11" s="10" t="inlineStr">
        <is>
          <t>2026-10-05</t>
        </is>
      </c>
      <c r="P11" s="10" t="n"/>
    </row>
    <row r="12">
      <c r="A12" s="10" t="inlineStr">
        <is>
          <t>K11</t>
        </is>
      </c>
      <c r="B12" s="11" t="inlineStr">
        <is>
          <t>11</t>
        </is>
      </c>
      <c r="C12" s="10" t="inlineStr">
        <is>
          <t>dept</t>
        </is>
      </c>
      <c r="D12" s="10" t="inlineStr">
        <is>
          <t>หมวด 5</t>
        </is>
      </c>
      <c r="E12" s="10" t="inlineStr">
        <is>
          <t>พี่ก้อย</t>
        </is>
      </c>
      <c r="F12" s="10" t="inlineStr">
        <is>
          <t>งานตรวจสอบความสมบูรณ์เวชระเบียน</t>
        </is>
      </c>
      <c r="G12" s="10" t="inlineStr">
        <is>
          <t>จำนวนรายงานการตรวจสอบความสมบูรณ์ของเวชระเบียน</t>
        </is>
      </c>
      <c r="H12" s="10" t="inlineStr">
        <is>
          <t>count</t>
        </is>
      </c>
      <c r="I12" s="10" t="inlineStr">
        <is>
          <t>&gt;= 2 ฉบับ</t>
        </is>
      </c>
      <c r="J12" s="10" t="n">
        <v>2</v>
      </c>
      <c r="K12" s="10" t="inlineStr">
        <is>
          <t>ฉบับ</t>
        </is>
      </c>
      <c r="L12" s="10" t="inlineStr">
        <is>
          <t>gte</t>
        </is>
      </c>
      <c r="M12" s="10" t="inlineStr">
        <is>
          <t>จัดทำและออกรายงานผลการตรวจสอบความสมบูรณ์ของการบันทึกเวชระเบียนอย่างน้อยปีละ 2 ครั้ง เสนอผู้เกี่ยวข้องเพื่อปรับปรุงคุณภาพการบันทึก</t>
        </is>
      </c>
      <c r="N12" s="10" t="b">
        <v>1</v>
      </c>
      <c r="O12" s="10" t="inlineStr">
        <is>
          <t>2026-10-05</t>
        </is>
      </c>
      <c r="P12" s="10" t="n"/>
    </row>
    <row r="13">
      <c r="A13" s="10" t="inlineStr">
        <is>
          <t>K12</t>
        </is>
      </c>
      <c r="B13" s="11" t="inlineStr">
        <is>
          <t>11</t>
        </is>
      </c>
      <c r="C13" s="10" t="inlineStr">
        <is>
          <t>dept</t>
        </is>
      </c>
      <c r="D13" s="10" t="inlineStr">
        <is>
          <t>หมวด 6</t>
        </is>
      </c>
      <c r="E13" s="10" t="inlineStr">
        <is>
          <t>ทีมพัฒนาระบบ</t>
        </is>
      </c>
      <c r="F13" s="10" t="inlineStr">
        <is>
          <t>งานแก้ไข BUG ระบบที่พัฒนาเอง (ระดับด่วนมาก)</t>
        </is>
      </c>
      <c r="G13" s="10" t="inlineStr">
        <is>
          <t>ร้อยละความสำเร็จในการแก้ไข BUG ระดับด่วนมากทุกระบบ</t>
        </is>
      </c>
      <c r="H13" s="10" t="inlineStr">
        <is>
          <t>percent</t>
        </is>
      </c>
      <c r="I13" s="10" t="inlineStr">
        <is>
          <t>100%</t>
        </is>
      </c>
      <c r="J13" s="10" t="n"/>
      <c r="K13" s="10" t="n"/>
      <c r="L13" s="10" t="n"/>
      <c r="M13" s="10" t="inlineStr">
        <is>
          <t>นับเฉพาะเคสที่แจ้งผ่านระบบแจ้งซ่อม ระดับความเร่งด่วน 'ด่วนมาก' ของทุกระบบที่พัฒนาเอง ติดตามจนปิดงานได้ครบทุกเคส</t>
        </is>
      </c>
      <c r="N13" s="10" t="b">
        <v>1</v>
      </c>
      <c r="O13" s="10" t="inlineStr">
        <is>
          <t>2026-10-05</t>
        </is>
      </c>
      <c r="P13" s="10" t="n"/>
    </row>
    <row r="14">
      <c r="A14" s="10" t="inlineStr">
        <is>
          <t>K13</t>
        </is>
      </c>
      <c r="B14" s="11" t="inlineStr">
        <is>
          <t>12</t>
        </is>
      </c>
      <c r="C14" s="10" t="inlineStr">
        <is>
          <t>dept</t>
        </is>
      </c>
      <c r="D14" s="10" t="inlineStr">
        <is>
          <t>หมวด 6</t>
        </is>
      </c>
      <c r="E14" s="10" t="inlineStr">
        <is>
          <t>ทีมพัฒนาระบบ</t>
        </is>
      </c>
      <c r="F14" s="10" t="inlineStr">
        <is>
          <t>งานพัฒนาระบบ WU-HIS</t>
        </is>
      </c>
      <c r="G14" s="10" t="inlineStr">
        <is>
          <t>จำนวนโมดูลของระบบ WU-HIS ที่ Go Live</t>
        </is>
      </c>
      <c r="H14" s="10" t="inlineStr">
        <is>
          <t>count</t>
        </is>
      </c>
      <c r="I14" s="10" t="inlineStr">
        <is>
          <t>&gt;= 6 โมดูล</t>
        </is>
      </c>
      <c r="J14" s="10" t="n">
        <v>6</v>
      </c>
      <c r="K14" s="10" t="inlineStr">
        <is>
          <t>โมดูล</t>
        </is>
      </c>
      <c r="L14" s="10" t="inlineStr">
        <is>
          <t>gte</t>
        </is>
      </c>
      <c r="M14" s="10" t="inlineStr">
        <is>
          <t>รวมงาน MA ที่ผลักดันเป็นระบบใหม่ได้ ระบุขนาดงานเป็นเล็ก/กลาง/ใหญ่ พร้อมประมาณการ man-day และระยะเวลาพัฒนา (1 เดือน / 3 เดือน / มากกว่า 3 เดือน) ต่อโมดูล</t>
        </is>
      </c>
      <c r="N14" s="10" t="b">
        <v>1</v>
      </c>
      <c r="O14" s="10" t="inlineStr">
        <is>
          <t>2026-10-05</t>
        </is>
      </c>
      <c r="P14" s="10" t="n"/>
    </row>
    <row r="15">
      <c r="A15" s="10" t="inlineStr">
        <is>
          <t>K14</t>
        </is>
      </c>
      <c r="B15" s="11" t="inlineStr">
        <is>
          <t>13</t>
        </is>
      </c>
      <c r="C15" s="10" t="inlineStr">
        <is>
          <t>dept</t>
        </is>
      </c>
      <c r="D15" s="10" t="inlineStr">
        <is>
          <t>หมวด 6</t>
        </is>
      </c>
      <c r="E15" s="10" t="inlineStr">
        <is>
          <t>โอม (กลุ่มงานนวัตกรรม)</t>
        </is>
      </c>
      <c r="F15" s="10" t="inlineStr">
        <is>
          <t>งาน Mobile App WUH CARE และ WUH APP</t>
        </is>
      </c>
      <c r="G15" s="10" t="inlineStr">
        <is>
          <t>จำนวนฟังก์ชันบริการผู้ป่วยที่ Go Live</t>
        </is>
      </c>
      <c r="H15" s="10" t="inlineStr">
        <is>
          <t>count</t>
        </is>
      </c>
      <c r="I15" s="10" t="inlineStr">
        <is>
          <t>&gt;= 5 ฟังก์ชัน</t>
        </is>
      </c>
      <c r="J15" s="10" t="n">
        <v>5</v>
      </c>
      <c r="K15" s="10" t="inlineStr">
        <is>
          <t>ฟังก์ชัน</t>
        </is>
      </c>
      <c r="L15" s="10" t="inlineStr">
        <is>
          <t>gte</t>
        </is>
      </c>
      <c r="M15" s="10" t="inlineStr">
        <is>
          <t>พัฒนาและเปิดใช้งานฟังก์ชันบริการผู้ป่วยใหม่บนแอปพลิเคชัน WUH CARE และ WUH APP เช่น นัดหมายออนไลน์ ดูผลตรวจ และชำระเงิน</t>
        </is>
      </c>
      <c r="N15" s="10" t="b">
        <v>1</v>
      </c>
      <c r="O15" s="10" t="inlineStr">
        <is>
          <t>2026-10-05</t>
        </is>
      </c>
      <c r="P15" s="10" t="n"/>
    </row>
    <row r="16">
      <c r="A16" s="10" t="inlineStr">
        <is>
          <t>K15</t>
        </is>
      </c>
      <c r="B16" s="11" t="inlineStr">
        <is>
          <t>14</t>
        </is>
      </c>
      <c r="C16" s="10" t="inlineStr">
        <is>
          <t>dept</t>
        </is>
      </c>
      <c r="D16" s="10" t="inlineStr">
        <is>
          <t>หมวด 6</t>
        </is>
      </c>
      <c r="E16" s="10" t="inlineStr">
        <is>
          <t>ทีมพัฒนาระบบ</t>
        </is>
      </c>
      <c r="F16" s="10" t="inlineStr">
        <is>
          <t>งานพัฒนาระบบสนับสนุนการบริหารจัดการโรงพยาบาล</t>
        </is>
      </c>
      <c r="G16" s="10" t="inlineStr">
        <is>
          <t>จำนวนโมดูลสนับสนุนการบริหารจัดการที่ Go Live</t>
        </is>
      </c>
      <c r="H16" s="10" t="inlineStr">
        <is>
          <t>count</t>
        </is>
      </c>
      <c r="I16" s="10" t="inlineStr">
        <is>
          <t>&gt;= 2 โมดูล</t>
        </is>
      </c>
      <c r="J16" s="10" t="n">
        <v>2</v>
      </c>
      <c r="K16" s="10" t="inlineStr">
        <is>
          <t>โมดูล</t>
        </is>
      </c>
      <c r="L16" s="10" t="inlineStr">
        <is>
          <t>gte</t>
        </is>
      </c>
      <c r="M16" s="10" t="inlineStr">
        <is>
          <t>พัฒนาโมดูลสนับสนุนงานบริหารจัดการภายในโรงพยาบาล เช่น งานบุคคล งานพัสดุ งานการเงิน ให้พร้อมใช้งานจริง</t>
        </is>
      </c>
      <c r="N16" s="10" t="b">
        <v>1</v>
      </c>
      <c r="O16" s="10" t="inlineStr">
        <is>
          <t>2026-10-05</t>
        </is>
      </c>
      <c r="P16" s="10" t="n"/>
    </row>
    <row r="17">
      <c r="A17" s="10" t="inlineStr">
        <is>
          <t>K16</t>
        </is>
      </c>
      <c r="B17" s="11" t="inlineStr">
        <is>
          <t>15</t>
        </is>
      </c>
      <c r="C17" s="10" t="inlineStr">
        <is>
          <t>dept</t>
        </is>
      </c>
      <c r="D17" s="10" t="inlineStr">
        <is>
          <t>หมวด 7</t>
        </is>
      </c>
      <c r="E17" s="10" t="inlineStr">
        <is>
          <t>กลุ่มงานโครงสร้างพื้นฐานดิจิทัลทางการแพทย์</t>
        </is>
      </c>
      <c r="F17" s="10" t="inlineStr">
        <is>
          <t>วิเคราะห์ Gap การใช้ทรัพยากร IT และทะเบียนครุภัณฑ์คอมพิวเตอร์</t>
        </is>
      </c>
      <c r="G17" s="10" t="inlineStr">
        <is>
          <t>จำนวนรายงานการวิเคราะห์ Gap การใช้ทรัพยากร IT</t>
        </is>
      </c>
      <c r="H17" s="10" t="inlineStr">
        <is>
          <t>count</t>
        </is>
      </c>
      <c r="I17" s="10" t="inlineStr">
        <is>
          <t>5 ฉบับ</t>
        </is>
      </c>
      <c r="J17" s="10" t="n">
        <v>5</v>
      </c>
      <c r="K17" s="10" t="inlineStr">
        <is>
          <t>ฉบับ</t>
        </is>
      </c>
      <c r="L17" s="10" t="inlineStr">
        <is>
          <t>gte</t>
        </is>
      </c>
      <c r="M17" s="10" t="inlineStr">
        <is>
          <t>วิเคราะห์ช่องว่าง (Gap) การใช้ทรัพยากร IT ทุกด้าน ทั้งรายเดือนและสะสม ต้องรอทะเบียนทรัพยากร (หมวด 2) แล้วเสร็จก่อนจึงวิเคราะห์ต่อได้</t>
        </is>
      </c>
      <c r="N17" s="10" t="b">
        <v>1</v>
      </c>
      <c r="O17" s="10" t="inlineStr">
        <is>
          <t>2026-10-05</t>
        </is>
      </c>
      <c r="P17" s="10" t="n"/>
    </row>
    <row r="18">
      <c r="A18" s="10" t="inlineStr">
        <is>
          <t>K17</t>
        </is>
      </c>
      <c r="B18" s="11" t="inlineStr">
        <is>
          <t>16</t>
        </is>
      </c>
      <c r="C18" s="10" t="inlineStr">
        <is>
          <t>dept</t>
        </is>
      </c>
      <c r="D18" s="10" t="n"/>
      <c r="E18" s="10" t="inlineStr">
        <is>
          <t>ทีมงาน IT</t>
        </is>
      </c>
      <c r="F18" s="10" t="inlineStr">
        <is>
          <t>งานธรรมาภิบาลข้อมูลสุขภาพ (Data Governance)</t>
        </is>
      </c>
      <c r="G18" s="10" t="inlineStr">
        <is>
          <t>จำนวนชุดข้อมูลที่จัดทำ Data Catalog</t>
        </is>
      </c>
      <c r="H18" s="10" t="inlineStr">
        <is>
          <t>count</t>
        </is>
      </c>
      <c r="I18" s="10" t="inlineStr">
        <is>
          <t>&gt;= 8 ชุด</t>
        </is>
      </c>
      <c r="J18" s="10" t="n">
        <v>8</v>
      </c>
      <c r="K18" s="10" t="inlineStr">
        <is>
          <t>ชุด</t>
        </is>
      </c>
      <c r="L18" s="10" t="inlineStr">
        <is>
          <t>gte</t>
        </is>
      </c>
      <c r="M18" s="10" t="inlineStr">
        <is>
          <t>นำร่องจัดทำ Data Catalog เริ่มต้นที่ข้อมูล Hospital Profile และชุดข้อมูลที่ใช้บ่อย เพื่อวางรากฐานธรรมาภิบาลข้อมูลสุขภาพของโรงพยาบาล</t>
        </is>
      </c>
      <c r="N18" s="10" t="b">
        <v>1</v>
      </c>
      <c r="O18" s="10" t="inlineStr">
        <is>
          <t>2026-10-05</t>
        </is>
      </c>
      <c r="P18" s="10" t="n"/>
    </row>
    <row r="19">
      <c r="A19" s="10" t="inlineStr">
        <is>
          <t>K18</t>
        </is>
      </c>
      <c r="B19" s="11" t="inlineStr">
        <is>
          <t>1</t>
        </is>
      </c>
      <c r="C19" s="10" t="inlineStr">
        <is>
          <t>individual</t>
        </is>
      </c>
      <c r="D19" s="10" t="n"/>
      <c r="E19" s="10" t="inlineStr">
        <is>
          <t>ทีมงาน IT</t>
        </is>
      </c>
      <c r="F19" s="10" t="inlineStr">
        <is>
          <t>งานประยุกต์ใช้ AI</t>
        </is>
      </c>
      <c r="G19" s="10" t="n"/>
      <c r="H19" s="10" t="inlineStr">
        <is>
          <t>other</t>
        </is>
      </c>
      <c r="I19" s="10" t="inlineStr">
        <is>
          <t>-</t>
        </is>
      </c>
      <c r="J19" s="10" t="n"/>
      <c r="K19" s="10" t="n"/>
      <c r="L19" s="10" t="n"/>
      <c r="M19" s="10" t="inlineStr">
        <is>
          <t>อยู่ระหว่างกำหนดตัวชี้วัดที่ชัดเจนสำหรับงานประยุกต์ใช้ AI ในการทำงานของแผนก</t>
        </is>
      </c>
      <c r="N19" s="10" t="b">
        <v>1</v>
      </c>
      <c r="O19" s="10" t="inlineStr">
        <is>
          <t>2026-10-05</t>
        </is>
      </c>
      <c r="P19" s="10" t="n"/>
    </row>
    <row r="20">
      <c r="A20" s="10" t="inlineStr">
        <is>
          <t>K19</t>
        </is>
      </c>
      <c r="B20" s="11" t="inlineStr">
        <is>
          <t>2</t>
        </is>
      </c>
      <c r="C20" s="10" t="inlineStr">
        <is>
          <t>individual</t>
        </is>
      </c>
      <c r="D20" s="10" t="n"/>
      <c r="E20" s="10" t="inlineStr">
        <is>
          <t>พี่หมื่น</t>
        </is>
      </c>
      <c r="F20" s="10" t="inlineStr">
        <is>
          <t>ความมั่นคงปลอดภัยระบบเทคโนโลยีสารสนเทศ (รายบุคคล)</t>
        </is>
      </c>
      <c r="G20" s="10" t="inlineStr">
        <is>
          <t>ร้อยละการปรับปรุงนโยบาย/ระเบียบปฏิบัติให้ทันสมัย</t>
        </is>
      </c>
      <c r="H20" s="10" t="inlineStr">
        <is>
          <t>percent</t>
        </is>
      </c>
      <c r="I20" s="10" t="inlineStr">
        <is>
          <t>100%</t>
        </is>
      </c>
      <c r="J20" s="10" t="n"/>
      <c r="K20" s="10" t="n"/>
      <c r="L20" s="10" t="n"/>
      <c r="M20" s="10" t="inlineStr">
        <is>
          <t>ทบทวนและปรับปรุงนโยบาย/ระเบียบปฏิบัติด้านความมั่นคงปลอดภัยสารสนเทศให้ครบทุกฉบับและทันสมัย</t>
        </is>
      </c>
      <c r="N20" s="10" t="b">
        <v>1</v>
      </c>
      <c r="O20" s="10" t="inlineStr">
        <is>
          <t>2026-10-05</t>
        </is>
      </c>
      <c r="P20" s="10" t="n"/>
    </row>
    <row r="21">
      <c r="A21" s="10" t="inlineStr">
        <is>
          <t>K20</t>
        </is>
      </c>
      <c r="B21" s="11" t="inlineStr">
        <is>
          <t>3</t>
        </is>
      </c>
      <c r="C21" s="10" t="inlineStr">
        <is>
          <t>individual</t>
        </is>
      </c>
      <c r="D21" s="10" t="n"/>
      <c r="E21" s="10" t="inlineStr">
        <is>
          <t>พี่หมื่น</t>
        </is>
      </c>
      <c r="F21" s="10" t="inlineStr">
        <is>
          <t>แผนกู้คืนระบบ (DRP)</t>
        </is>
      </c>
      <c r="G21" s="10" t="inlineStr">
        <is>
          <t>ระยะเวลาการกู้คืนข้อมูลจาก Backup (RTO)</t>
        </is>
      </c>
      <c r="H21" s="10" t="inlineStr">
        <is>
          <t>other</t>
        </is>
      </c>
      <c r="I21" s="10" t="inlineStr">
        <is>
          <t>ตาม RTO ที่กำหนด</t>
        </is>
      </c>
      <c r="J21" s="10" t="n"/>
      <c r="K21" s="10" t="n"/>
      <c r="L21" s="10" t="n"/>
      <c r="M21" s="10" t="inlineStr">
        <is>
          <t>นับระยะเวลาจากเวลาเกิดเหตุถึงระบบ HIS กลับมาใช้งานได้ตามปกติ เทียบกับระยะเวลาเป้าหมาย (RTO) ที่กำหนดไว้</t>
        </is>
      </c>
      <c r="N21" s="10" t="b">
        <v>1</v>
      </c>
      <c r="O21" s="10" t="inlineStr">
        <is>
          <t>2026-10-05</t>
        </is>
      </c>
      <c r="P21" s="10" t="n"/>
    </row>
    <row r="22">
      <c r="A22" s="10" t="inlineStr">
        <is>
          <t>K21</t>
        </is>
      </c>
      <c r="B22" s="11" t="inlineStr">
        <is>
          <t>4</t>
        </is>
      </c>
      <c r="C22" s="10" t="inlineStr">
        <is>
          <t>individual</t>
        </is>
      </c>
      <c r="D22" s="10" t="n"/>
      <c r="E22" s="10" t="inlineStr">
        <is>
          <t>Clinical HIS / Patient MIS / นวัตกรรม</t>
        </is>
      </c>
      <c r="F22" s="10" t="inlineStr">
        <is>
          <t>งานพัฒนาคุณภาพสถานพยาบาลด้าน IT (CQI)</t>
        </is>
      </c>
      <c r="G22" s="10" t="inlineStr">
        <is>
          <t>จำนวนผลงาน CQI ที่ส่งเข้าโครงการ HA</t>
        </is>
      </c>
      <c r="H22" s="10" t="inlineStr">
        <is>
          <t>count</t>
        </is>
      </c>
      <c r="I22" s="10" t="inlineStr">
        <is>
          <t>&gt;= 3 ผลงาน</t>
        </is>
      </c>
      <c r="J22" s="10" t="n">
        <v>3</v>
      </c>
      <c r="K22" s="10" t="inlineStr">
        <is>
          <t>ผลงาน</t>
        </is>
      </c>
      <c r="L22" s="10" t="inlineStr">
        <is>
          <t>gte</t>
        </is>
      </c>
      <c r="M22" s="10" t="inlineStr">
        <is>
          <t>จัดทำผลงาน CQI เพื่อปรับปรุงประสิทธิภาพ (Performance) ของระบบด้าน IT และส่งเข้าโครงการ HA กำหนดส่งภายในเดือนพฤศจิกายน</t>
        </is>
      </c>
      <c r="N22" s="10" t="b">
        <v>1</v>
      </c>
      <c r="O22" s="10" t="inlineStr">
        <is>
          <t>2026-10-05</t>
        </is>
      </c>
      <c r="P22" s="10" t="n"/>
    </row>
    <row r="23">
      <c r="A23" s="10" t="inlineStr">
        <is>
          <t>K22</t>
        </is>
      </c>
      <c r="B23" s="11" t="inlineStr">
        <is>
          <t>5</t>
        </is>
      </c>
      <c r="C23" s="10" t="inlineStr">
        <is>
          <t>individual</t>
        </is>
      </c>
      <c r="D23" s="10" t="n"/>
      <c r="E23" s="10" t="inlineStr">
        <is>
          <t>กลุ่มงานโครงสร้างพื้นฐานดิจิทัลทางการแพทย์</t>
        </is>
      </c>
      <c r="F23" s="10" t="inlineStr">
        <is>
          <t>งานดูแลบำรุงรักษาคอมพิวเตอร์ อุปกรณ์ต่อพ่วง Data Center และตู้เครือข่าย</t>
        </is>
      </c>
      <c r="G23" s="10" t="inlineStr">
        <is>
          <t>ร้อยละการดำเนินงานตามแผนบำรุงรักษา</t>
        </is>
      </c>
      <c r="H23" s="10" t="inlineStr">
        <is>
          <t>percent</t>
        </is>
      </c>
      <c r="I23" s="10" t="inlineStr">
        <is>
          <t>100%</t>
        </is>
      </c>
      <c r="J23" s="10" t="n"/>
      <c r="K23" s="10" t="n"/>
      <c r="L23" s="10" t="n"/>
      <c r="M23" s="10" t="inlineStr">
        <is>
          <t>ครอบคลุมคอมพิวเตอร์ อุปกรณ์ต่อพ่วง ห้อง Data Center และตู้เครือข่ายย่อยทุกจุดบริการ ตามรอบแผนบำรุงรักษาเชิงป้องกัน (PM) พร้อมติดตามอัตราการเสียซ้ำของอุปกรณ์</t>
        </is>
      </c>
      <c r="N23" s="10" t="b">
        <v>1</v>
      </c>
      <c r="O23" s="10" t="inlineStr">
        <is>
          <t>2026-10-05</t>
        </is>
      </c>
      <c r="P23" s="10" t="n"/>
    </row>
    <row r="24">
      <c r="A24" s="10" t="inlineStr">
        <is>
          <t>K23</t>
        </is>
      </c>
      <c r="B24" s="11" t="inlineStr">
        <is>
          <t>6</t>
        </is>
      </c>
      <c r="C24" s="10" t="inlineStr">
        <is>
          <t>individual</t>
        </is>
      </c>
      <c r="D24" s="10" t="n"/>
      <c r="E24" s="10" t="inlineStr">
        <is>
          <t>ทีมงาน IT</t>
        </is>
      </c>
      <c r="F24" s="10" t="inlineStr">
        <is>
          <t>งานพัฒนาระบบเชิงนวัตกรรม</t>
        </is>
      </c>
      <c r="G24" s="10" t="n"/>
      <c r="H24" s="10" t="inlineStr">
        <is>
          <t>other</t>
        </is>
      </c>
      <c r="I24" s="10" t="inlineStr">
        <is>
          <t>-</t>
        </is>
      </c>
      <c r="J24" s="10" t="n"/>
      <c r="K24" s="10" t="n"/>
      <c r="L24" s="10" t="n"/>
      <c r="M24" s="10" t="inlineStr">
        <is>
          <t>อยู่ระหว่างกำหนดตัวชี้วัดที่ชัดเจนสำหรับงานพัฒนาระบบเชิงนวัตกรรมของแผนก</t>
        </is>
      </c>
      <c r="N24" s="10" t="b">
        <v>1</v>
      </c>
      <c r="O24" s="10" t="inlineStr">
        <is>
          <t>2026-10-05</t>
        </is>
      </c>
      <c r="P24" s="10" t="n"/>
    </row>
    <row r="25">
      <c r="A25" s="10" t="inlineStr">
        <is>
          <t>K24</t>
        </is>
      </c>
      <c r="B25" s="11" t="inlineStr">
        <is>
          <t>7</t>
        </is>
      </c>
      <c r="C25" s="10" t="inlineStr">
        <is>
          <t>individual</t>
        </is>
      </c>
      <c r="D25" s="10" t="n"/>
      <c r="E25" s="10" t="inlineStr">
        <is>
          <t>ทีมงาน WUDA</t>
        </is>
      </c>
      <c r="F25" s="10" t="inlineStr">
        <is>
          <t>งาน WUH Data-driven (WUDA)</t>
        </is>
      </c>
      <c r="G25" s="10" t="inlineStr">
        <is>
          <t>จำนวนเรื่องที่นำเสนอบนระบบ WUDA</t>
        </is>
      </c>
      <c r="H25" s="10" t="inlineStr">
        <is>
          <t>count</t>
        </is>
      </c>
      <c r="I25" s="10" t="inlineStr">
        <is>
          <t>&gt;= 5 เรื่อง</t>
        </is>
      </c>
      <c r="J25" s="10" t="n">
        <v>5</v>
      </c>
      <c r="K25" s="10" t="inlineStr">
        <is>
          <t>เรื่อง</t>
        </is>
      </c>
      <c r="L25" s="10" t="inlineStr">
        <is>
          <t>gte</t>
        </is>
      </c>
      <c r="M25" s="10" t="inlineStr">
        <is>
          <t>ครอบคลุมผู้รับบริการ เตียง/การครองเตียง สถานะการเงิน อัตรากำลัง และ KPI ยุทธศาสตร์ มวล. ที่โรงพยาบาลรับผิดชอบ นำเสนอเป็นแดชบอร์ดข้อมูลบนระบบ WUDA</t>
        </is>
      </c>
      <c r="N25" s="10" t="b">
        <v>1</v>
      </c>
      <c r="O25" s="10" t="inlineStr">
        <is>
          <t>2026-10-05</t>
        </is>
      </c>
      <c r="P25" s="10" t="n"/>
    </row>
    <row r="26">
      <c r="A26" s="10" t="inlineStr">
        <is>
          <t>K25</t>
        </is>
      </c>
      <c r="B26" s="11" t="inlineStr">
        <is>
          <t>8</t>
        </is>
      </c>
      <c r="C26" s="10" t="inlineStr">
        <is>
          <t>individual</t>
        </is>
      </c>
      <c r="D26" s="10" t="n"/>
      <c r="E26" s="10" t="inlineStr">
        <is>
          <t>รีซะห์ (ทีม Tester)</t>
        </is>
      </c>
      <c r="F26" s="10" t="inlineStr">
        <is>
          <t>คุณภาพซอฟต์แวร์ที่พัฒนา</t>
        </is>
      </c>
      <c r="G26" s="10" t="inlineStr">
        <is>
          <t>ร้อยละการเกิด Defect ต่อจำนวนครั้งที่ Deploy</t>
        </is>
      </c>
      <c r="H26" s="10" t="inlineStr">
        <is>
          <t>percent</t>
        </is>
      </c>
      <c r="I26" s="10" t="inlineStr">
        <is>
          <t>&lt;= 10%</t>
        </is>
      </c>
      <c r="J26" s="10" t="n"/>
      <c r="K26" s="10" t="n"/>
      <c r="L26" s="10" t="inlineStr">
        <is>
          <t>lte</t>
        </is>
      </c>
      <c r="M26" s="10" t="inlineStr">
        <is>
          <t>วัดจากทีม Tester 4 คน คำนวณสัดส่วนจำนวนครั้งที่เกิด Defect หลัง Deploy เทียบกับจำนวนครั้งที่ Deploy ทั้งหมดของทีม</t>
        </is>
      </c>
      <c r="N26" s="10" t="b">
        <v>1</v>
      </c>
      <c r="O26" s="10" t="inlineStr">
        <is>
          <t>2026-10-05</t>
        </is>
      </c>
      <c r="P26" s="10" t="n"/>
    </row>
    <row r="27">
      <c r="A27" s="10" t="inlineStr">
        <is>
          <t>K26</t>
        </is>
      </c>
      <c r="B27" s="11" t="inlineStr">
        <is>
          <t>16</t>
        </is>
      </c>
      <c r="C27" s="10" t="inlineStr">
        <is>
          <t>individual</t>
        </is>
      </c>
      <c r="D27" s="10" t="n"/>
      <c r="E27" s="10" t="inlineStr">
        <is>
          <t>ทีมงาน IT</t>
        </is>
      </c>
      <c r="F27" s="10" t="inlineStr">
        <is>
          <t>KPI เกี่ยวกับ SLA (Hardware, Software, โทรศัพท์, แอปพลิเคชัน)</t>
        </is>
      </c>
      <c r="G27" s="10" t="n"/>
      <c r="H27" s="10" t="inlineStr">
        <is>
          <t>other</t>
        </is>
      </c>
      <c r="I27" s="10" t="inlineStr">
        <is>
          <t>-</t>
        </is>
      </c>
      <c r="J27" s="10" t="n"/>
      <c r="K27" s="10" t="n"/>
      <c r="L27" s="10" t="n"/>
      <c r="M27" s="10" t="inlineStr">
        <is>
          <t>เช่น ระยะเวลาการแก้ปัญหาเมื่อระบบขัดข้อง หรืออินเทอร์เน็ตใช้งานไม่ได้ อยู่ระหว่างกำหนดตัวชี้วัดและเกณฑ์ SLA ที่ชัดเจน</t>
        </is>
      </c>
      <c r="N27" s="10" t="b">
        <v>1</v>
      </c>
      <c r="O27" s="10" t="inlineStr">
        <is>
          <t>2026-10-05</t>
        </is>
      </c>
      <c r="P27" s="10" t="n"/>
    </row>
    <row r="28">
      <c r="A28" s="10" t="inlineStr">
        <is>
          <t>K27</t>
        </is>
      </c>
      <c r="B28" s="11" t="inlineStr">
        <is>
          <t>WU-4-1-8</t>
        </is>
      </c>
      <c r="C28" s="10" t="inlineStr">
        <is>
          <t>agenda</t>
        </is>
      </c>
      <c r="D28" s="10" t="n"/>
      <c r="E28" s="10" t="inlineStr">
        <is>
          <t>หัวหน้าแผนก</t>
        </is>
      </c>
      <c r="F28" s="10" t="inlineStr">
        <is>
          <t>ความพร้อมยื่นตรวจรับรองคุณภาพระบบเทคโนโลยีสารสนเทศ (HAIT)</t>
        </is>
      </c>
      <c r="G28" s="10" t="inlineStr">
        <is>
          <t>ระดับความพร้อมตาม KPIs / OKRs ของมหาวิทยาลัย</t>
        </is>
      </c>
      <c r="H28" s="10" t="inlineStr">
        <is>
          <t>count</t>
        </is>
      </c>
      <c r="I28" s="10" t="inlineStr">
        <is>
          <t>1 (ผ่านการรับรอง)</t>
        </is>
      </c>
      <c r="J28" s="10" t="n">
        <v>1</v>
      </c>
      <c r="K28" s="10" t="n"/>
      <c r="L28" s="10" t="inlineStr">
        <is>
          <t>gte</t>
        </is>
      </c>
      <c r="M28" s="10" t="inlineStr">
        <is>
          <t>อ้างอิงกรอบ KPI/OKRs ของมหาวิทยาลัย (มติสภามหาวิทยาลัยอนุมัติ 14.12.67) ใช้ประกอบการยื่นตรวจประเมินคุณภาพระบบเทคโนโลยีสารสนเทศของโรงพยาบาล (HAIT)</t>
        </is>
      </c>
      <c r="N28" s="10" t="b">
        <v>1</v>
      </c>
      <c r="O28" s="10" t="inlineStr">
        <is>
          <t>2026-10-05</t>
        </is>
      </c>
      <c r="P28" s="10" t="n"/>
    </row>
  </sheetData>
  <dataValidations count="4">
    <dataValidation sqref="C2:C500" showDropDown="0" showInputMessage="0" showErrorMessage="0" allowBlank="1" type="list">
      <formula1>=ref_group!$A$2:$A$20</formula1>
    </dataValidation>
    <dataValidation sqref="H2:H500" showDropDown="0" showInputMessage="0" showErrorMessage="0" allowBlank="1" type="list">
      <formula1>=ref_metric_type!$A$2:$A$20</formula1>
    </dataValidation>
    <dataValidation sqref="L2:L500" showDropDown="0" showInputMessage="0" showErrorMessage="0" allowBlank="1" type="list">
      <formula1>=ref_target_direction!$A$2:$A$10</formula1>
    </dataValidation>
    <dataValidation sqref="N2:N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7" t="inlineStr">
        <is>
          <t>kpi_id</t>
        </is>
      </c>
      <c r="B1" s="7" t="inlineStr">
        <is>
          <t>owner_name</t>
        </is>
      </c>
    </row>
    <row r="2">
      <c r="A2" s="10" t="inlineStr">
        <is>
          <t>K01</t>
        </is>
      </c>
      <c r="B2" s="10" t="inlineStr">
        <is>
          <t>หัวหน้าแผนก</t>
        </is>
      </c>
    </row>
    <row r="3">
      <c r="A3" s="10" t="inlineStr">
        <is>
          <t>K02</t>
        </is>
      </c>
      <c r="B3" s="10" t="inlineStr">
        <is>
          <t>โอม</t>
        </is>
      </c>
    </row>
    <row r="4">
      <c r="A4" s="10" t="inlineStr">
        <is>
          <t>K03</t>
        </is>
      </c>
      <c r="B4" s="10" t="inlineStr">
        <is>
          <t>โอม</t>
        </is>
      </c>
    </row>
    <row r="5">
      <c r="A5" s="10" t="inlineStr">
        <is>
          <t>K04</t>
        </is>
      </c>
      <c r="B5" s="10" t="inlineStr">
        <is>
          <t>พี่หมื่น</t>
        </is>
      </c>
    </row>
    <row r="6">
      <c r="A6" s="10" t="inlineStr">
        <is>
          <t>K05</t>
        </is>
      </c>
      <c r="B6" s="10" t="inlineStr">
        <is>
          <t>พี่นก</t>
        </is>
      </c>
    </row>
    <row r="7">
      <c r="A7" s="10" t="inlineStr">
        <is>
          <t>K06</t>
        </is>
      </c>
      <c r="B7" s="10" t="inlineStr">
        <is>
          <t>กลุ่มงานโครงสร้างพื้นฐานดิจิทัลทางการแพทย์</t>
        </is>
      </c>
    </row>
    <row r="8">
      <c r="A8" s="10" t="inlineStr">
        <is>
          <t>K07</t>
        </is>
      </c>
      <c r="B8" s="10" t="inlineStr">
        <is>
          <t>รีซะห์</t>
        </is>
      </c>
    </row>
    <row r="9">
      <c r="A9" s="10" t="inlineStr">
        <is>
          <t>K08</t>
        </is>
      </c>
      <c r="B9" s="10" t="inlineStr">
        <is>
          <t>ทีมงาน IT</t>
        </is>
      </c>
    </row>
    <row r="10">
      <c r="A10" s="10" t="inlineStr">
        <is>
          <t>K09</t>
        </is>
      </c>
      <c r="B10" s="10" t="inlineStr">
        <is>
          <t>หมื่น</t>
        </is>
      </c>
    </row>
    <row r="11">
      <c r="A11" s="10" t="inlineStr">
        <is>
          <t>K09</t>
        </is>
      </c>
      <c r="B11" s="10" t="inlineStr">
        <is>
          <t>รีซะห์</t>
        </is>
      </c>
    </row>
    <row r="12">
      <c r="A12" s="10" t="inlineStr">
        <is>
          <t>K09</t>
        </is>
      </c>
      <c r="B12" s="10" t="inlineStr">
        <is>
          <t>พี่นก</t>
        </is>
      </c>
    </row>
    <row r="13">
      <c r="A13" s="10" t="inlineStr">
        <is>
          <t>K09</t>
        </is>
      </c>
      <c r="B13" s="10" t="inlineStr">
        <is>
          <t>พี่ก้อย</t>
        </is>
      </c>
    </row>
    <row r="14">
      <c r="A14" s="10" t="inlineStr">
        <is>
          <t>K10</t>
        </is>
      </c>
      <c r="B14" s="10" t="inlineStr">
        <is>
          <t>พี่ก้อย</t>
        </is>
      </c>
    </row>
    <row r="15">
      <c r="A15" s="10" t="inlineStr">
        <is>
          <t>K11</t>
        </is>
      </c>
      <c r="B15" s="10" t="inlineStr">
        <is>
          <t>พี่ก้อย</t>
        </is>
      </c>
    </row>
    <row r="16">
      <c r="A16" s="10" t="inlineStr">
        <is>
          <t>K12</t>
        </is>
      </c>
      <c r="B16" s="10" t="inlineStr">
        <is>
          <t>ทีมพัฒนาระบบ</t>
        </is>
      </c>
    </row>
    <row r="17">
      <c r="A17" s="10" t="inlineStr">
        <is>
          <t>K13</t>
        </is>
      </c>
      <c r="B17" s="10" t="inlineStr">
        <is>
          <t>ทีมพัฒนาระบบ</t>
        </is>
      </c>
    </row>
    <row r="18">
      <c r="A18" s="10" t="inlineStr">
        <is>
          <t>K14</t>
        </is>
      </c>
      <c r="B18" s="10" t="inlineStr">
        <is>
          <t>โอม (กลุ่มงานนวัตกรรม)</t>
        </is>
      </c>
    </row>
    <row r="19">
      <c r="A19" s="10" t="inlineStr">
        <is>
          <t>K15</t>
        </is>
      </c>
      <c r="B19" s="10" t="inlineStr">
        <is>
          <t>ทีมพัฒนาระบบ</t>
        </is>
      </c>
    </row>
    <row r="20">
      <c r="A20" s="10" t="inlineStr">
        <is>
          <t>K16</t>
        </is>
      </c>
      <c r="B20" s="10" t="inlineStr">
        <is>
          <t>กลุ่มงานโครงสร้างพื้นฐานดิจิทัลทางการแพทย์</t>
        </is>
      </c>
    </row>
    <row r="21">
      <c r="A21" s="10" t="inlineStr">
        <is>
          <t>K17</t>
        </is>
      </c>
      <c r="B21" s="10" t="inlineStr">
        <is>
          <t>ทีมงาน IT</t>
        </is>
      </c>
    </row>
    <row r="22">
      <c r="A22" s="10" t="inlineStr">
        <is>
          <t>K18</t>
        </is>
      </c>
      <c r="B22" s="10" t="inlineStr">
        <is>
          <t>ทีมงาน IT</t>
        </is>
      </c>
    </row>
    <row r="23">
      <c r="A23" s="10" t="inlineStr">
        <is>
          <t>K19</t>
        </is>
      </c>
      <c r="B23" s="10" t="inlineStr">
        <is>
          <t>พี่หมื่น</t>
        </is>
      </c>
    </row>
    <row r="24">
      <c r="A24" s="10" t="inlineStr">
        <is>
          <t>K20</t>
        </is>
      </c>
      <c r="B24" s="10" t="inlineStr">
        <is>
          <t>พี่หมื่น</t>
        </is>
      </c>
    </row>
    <row r="25">
      <c r="A25" s="10" t="inlineStr">
        <is>
          <t>K21</t>
        </is>
      </c>
      <c r="B25" s="10" t="inlineStr">
        <is>
          <t>Clinical HIS / Patient MIS / นวัตกรรม</t>
        </is>
      </c>
    </row>
    <row r="26">
      <c r="A26" s="10" t="inlineStr">
        <is>
          <t>K22</t>
        </is>
      </c>
      <c r="B26" s="10" t="inlineStr">
        <is>
          <t>กลุ่มงานโครงสร้างพื้นฐานดิจิทัลทางการแพทย์</t>
        </is>
      </c>
    </row>
    <row r="27">
      <c r="A27" s="10" t="inlineStr">
        <is>
          <t>K23</t>
        </is>
      </c>
      <c r="B27" s="10" t="inlineStr">
        <is>
          <t>ทีมงาน IT</t>
        </is>
      </c>
    </row>
    <row r="28">
      <c r="A28" s="10" t="inlineStr">
        <is>
          <t>K24</t>
        </is>
      </c>
      <c r="B28" s="10" t="inlineStr">
        <is>
          <t>ทีมงาน WUDA</t>
        </is>
      </c>
    </row>
    <row r="29">
      <c r="A29" s="10" t="inlineStr">
        <is>
          <t>K25</t>
        </is>
      </c>
      <c r="B29" s="10" t="inlineStr">
        <is>
          <t>รีซะห์ (ทีม Tester)</t>
        </is>
      </c>
    </row>
    <row r="30">
      <c r="A30" s="10" t="inlineStr">
        <is>
          <t>K26</t>
        </is>
      </c>
      <c r="B30" s="10" t="inlineStr">
        <is>
          <t>ทีมงาน IT</t>
        </is>
      </c>
    </row>
    <row r="31">
      <c r="A31" s="10" t="inlineStr">
        <is>
          <t>K27</t>
        </is>
      </c>
      <c r="B31" s="10" t="inlineStr">
        <is>
          <t>หัวหน้าแผนก</t>
        </is>
      </c>
    </row>
  </sheetData>
  <dataValidations count="1">
    <dataValidation sqref="A2:A1000" showDropDown="0" showInputMessage="0" showErrorMessage="0" allowBlank="1" type="list">
      <formula1>=kpi_master!$A$2:$A$500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5" customWidth="1" min="5" max="5"/>
    <col width="9" customWidth="1" min="6" max="6"/>
    <col width="13" customWidth="1" min="7" max="7"/>
    <col width="13" customWidth="1" min="8" max="8"/>
    <col width="12" customWidth="1" min="9" max="9"/>
    <col width="40" customWidth="1" min="10" max="10"/>
    <col width="30" customWidth="1" min="11" max="11"/>
    <col width="14" customWidth="1" min="12" max="12"/>
    <col width="18" customWidth="1" min="13" max="13"/>
  </cols>
  <sheetData>
    <row r="1">
      <c r="A1" s="7" t="inlineStr">
        <is>
          <t>entry_id</t>
        </is>
      </c>
      <c r="B1" s="7" t="inlineStr">
        <is>
          <t>kpi_id</t>
        </is>
      </c>
      <c r="C1" s="7" t="inlineStr">
        <is>
          <t>fiscal_year</t>
        </is>
      </c>
      <c r="D1" s="7" t="inlineStr">
        <is>
          <t>month_key</t>
        </is>
      </c>
      <c r="E1" s="7" t="inlineStr">
        <is>
          <t>fiscal_month_no</t>
        </is>
      </c>
      <c r="F1" s="7" t="inlineStr">
        <is>
          <t>quarter</t>
        </is>
      </c>
      <c r="G1" s="7" t="inlineStr">
        <is>
          <t>status_code</t>
        </is>
      </c>
      <c r="H1" s="7" t="inlineStr">
        <is>
          <t>actual_value</t>
        </is>
      </c>
      <c r="I1" s="7" t="inlineStr">
        <is>
          <t>count_value</t>
        </is>
      </c>
      <c r="J1" s="7" t="inlineStr">
        <is>
          <t>activity_detail</t>
        </is>
      </c>
      <c r="K1" s="7" t="inlineStr">
        <is>
          <t>note</t>
        </is>
      </c>
      <c r="L1" s="7" t="inlineStr">
        <is>
          <t>updated_by</t>
        </is>
      </c>
      <c r="M1" s="7" t="inlineStr">
        <is>
          <t>updated_at</t>
        </is>
      </c>
    </row>
    <row r="2">
      <c r="A2" s="12" t="inlineStr">
        <is>
          <t>K07__2026-09</t>
        </is>
      </c>
      <c r="B2" s="12" t="inlineStr">
        <is>
          <t>K07</t>
        </is>
      </c>
      <c r="C2" s="12" t="n">
        <v>2569</v>
      </c>
      <c r="D2" s="12" t="inlineStr">
        <is>
          <t>2026-09</t>
        </is>
      </c>
      <c r="E2" s="12" t="n">
        <v>12</v>
      </c>
      <c r="F2" s="12" t="n">
        <v>4</v>
      </c>
      <c r="G2" s="12" t="inlineStr">
        <is>
          <t>done</t>
        </is>
      </c>
      <c r="H2" s="12" t="inlineStr">
        <is>
          <t>88%</t>
        </is>
      </c>
      <c r="I2" s="12" t="n"/>
      <c r="J2" s="12" t="inlineStr">
        <is>
          <t>ตอบสนองตาม SLA 412 จาก 468 เคส</t>
        </is>
      </c>
      <c r="K2" s="12" t="inlineStr">
        <is>
          <t>แถวตัวอย่าง ลบได้</t>
        </is>
      </c>
      <c r="L2" s="12" t="inlineStr">
        <is>
          <t>รุ้ง</t>
        </is>
      </c>
      <c r="M2" s="12" t="inlineStr">
        <is>
          <t>2026-10-05 09:00</t>
        </is>
      </c>
    </row>
  </sheetData>
  <dataValidations count="3">
    <dataValidation sqref="B2:B5000" showDropDown="0" showInputMessage="0" showErrorMessage="0" allowBlank="1" type="list">
      <formula1>=kpi_master!$A$2:$A$500</formula1>
    </dataValidation>
    <dataValidation sqref="D2:D5000" showDropDown="0" showInputMessage="0" showErrorMessage="0" allowBlank="1" type="list">
      <formula1>=fiscal_months!$D$2:$D$500</formula1>
    </dataValidation>
    <dataValidation sqref="G2:G5000" showDropDown="0" showInputMessage="0" showErrorMessage="0" allowBlank="1" type="list">
      <formula1>=ref_status!$A$2:$A$20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3" customWidth="1" min="5" max="5"/>
    <col width="10" customWidth="1" min="6" max="6"/>
    <col width="18" customWidth="1" min="7" max="7"/>
    <col width="13" customWidth="1" min="8" max="8"/>
  </cols>
  <sheetData>
    <row r="1">
      <c r="A1" s="7" t="inlineStr">
        <is>
          <t>fm_key</t>
        </is>
      </c>
      <c r="B1" s="7" t="inlineStr">
        <is>
          <t>fiscal_year</t>
        </is>
      </c>
      <c r="C1" s="7" t="inlineStr">
        <is>
          <t>fiscal_month_no</t>
        </is>
      </c>
      <c r="D1" s="7" t="inlineStr">
        <is>
          <t>month_key</t>
        </is>
      </c>
      <c r="E1" s="7" t="inlineStr">
        <is>
          <t>month_label</t>
        </is>
      </c>
      <c r="F1" s="7" t="inlineStr">
        <is>
          <t>quarter</t>
        </is>
      </c>
      <c r="G1" s="7" t="inlineStr">
        <is>
          <t>quarter_label</t>
        </is>
      </c>
      <c r="H1" s="7" t="inlineStr">
        <is>
          <t>month_start</t>
        </is>
      </c>
    </row>
    <row r="2">
      <c r="A2" s="10" t="inlineStr">
        <is>
          <t>2569|01</t>
        </is>
      </c>
      <c r="B2" s="10" t="n">
        <v>2569</v>
      </c>
      <c r="C2" s="10" t="n">
        <v>1</v>
      </c>
      <c r="D2" s="10" t="inlineStr">
        <is>
          <t>2025-10</t>
        </is>
      </c>
      <c r="E2" s="10" t="inlineStr">
        <is>
          <t>ต.ค. 68</t>
        </is>
      </c>
      <c r="F2" s="10" t="n">
        <v>1</v>
      </c>
      <c r="G2" s="10" t="inlineStr">
        <is>
          <t>Q1 (ต.ค.–ธ.ค.)</t>
        </is>
      </c>
      <c r="H2" s="13" t="n">
        <v>45931</v>
      </c>
    </row>
    <row r="3">
      <c r="A3" s="10" t="inlineStr">
        <is>
          <t>2569|02</t>
        </is>
      </c>
      <c r="B3" s="10" t="n">
        <v>2569</v>
      </c>
      <c r="C3" s="10" t="n">
        <v>2</v>
      </c>
      <c r="D3" s="10" t="inlineStr">
        <is>
          <t>2025-11</t>
        </is>
      </c>
      <c r="E3" s="10" t="inlineStr">
        <is>
          <t>พ.ย. 68</t>
        </is>
      </c>
      <c r="F3" s="10" t="n">
        <v>1</v>
      </c>
      <c r="G3" s="10" t="inlineStr">
        <is>
          <t>Q1 (ต.ค.–ธ.ค.)</t>
        </is>
      </c>
      <c r="H3" s="13" t="n">
        <v>45962</v>
      </c>
    </row>
    <row r="4">
      <c r="A4" s="10" t="inlineStr">
        <is>
          <t>2569|03</t>
        </is>
      </c>
      <c r="B4" s="10" t="n">
        <v>2569</v>
      </c>
      <c r="C4" s="10" t="n">
        <v>3</v>
      </c>
      <c r="D4" s="10" t="inlineStr">
        <is>
          <t>2025-12</t>
        </is>
      </c>
      <c r="E4" s="10" t="inlineStr">
        <is>
          <t>ธ.ค. 68</t>
        </is>
      </c>
      <c r="F4" s="10" t="n">
        <v>1</v>
      </c>
      <c r="G4" s="10" t="inlineStr">
        <is>
          <t>Q1 (ต.ค.–ธ.ค.)</t>
        </is>
      </c>
      <c r="H4" s="13" t="n">
        <v>45992</v>
      </c>
    </row>
    <row r="5">
      <c r="A5" s="10" t="inlineStr">
        <is>
          <t>2569|04</t>
        </is>
      </c>
      <c r="B5" s="10" t="n">
        <v>2569</v>
      </c>
      <c r="C5" s="10" t="n">
        <v>4</v>
      </c>
      <c r="D5" s="10" t="inlineStr">
        <is>
          <t>2026-01</t>
        </is>
      </c>
      <c r="E5" s="10" t="inlineStr">
        <is>
          <t>ม.ค. 69</t>
        </is>
      </c>
      <c r="F5" s="10" t="n">
        <v>2</v>
      </c>
      <c r="G5" s="10" t="inlineStr">
        <is>
          <t>Q2 (ม.ค.–มี.ค.)</t>
        </is>
      </c>
      <c r="H5" s="13" t="n">
        <v>46023</v>
      </c>
    </row>
    <row r="6">
      <c r="A6" s="10" t="inlineStr">
        <is>
          <t>2569|05</t>
        </is>
      </c>
      <c r="B6" s="10" t="n">
        <v>2569</v>
      </c>
      <c r="C6" s="10" t="n">
        <v>5</v>
      </c>
      <c r="D6" s="10" t="inlineStr">
        <is>
          <t>2026-02</t>
        </is>
      </c>
      <c r="E6" s="10" t="inlineStr">
        <is>
          <t>ก.พ. 69</t>
        </is>
      </c>
      <c r="F6" s="10" t="n">
        <v>2</v>
      </c>
      <c r="G6" s="10" t="inlineStr">
        <is>
          <t>Q2 (ม.ค.–มี.ค.)</t>
        </is>
      </c>
      <c r="H6" s="13" t="n">
        <v>46054</v>
      </c>
    </row>
    <row r="7">
      <c r="A7" s="10" t="inlineStr">
        <is>
          <t>2569|06</t>
        </is>
      </c>
      <c r="B7" s="10" t="n">
        <v>2569</v>
      </c>
      <c r="C7" s="10" t="n">
        <v>6</v>
      </c>
      <c r="D7" s="10" t="inlineStr">
        <is>
          <t>2026-03</t>
        </is>
      </c>
      <c r="E7" s="10" t="inlineStr">
        <is>
          <t>มี.ค. 69</t>
        </is>
      </c>
      <c r="F7" s="10" t="n">
        <v>2</v>
      </c>
      <c r="G7" s="10" t="inlineStr">
        <is>
          <t>Q2 (ม.ค.–มี.ค.)</t>
        </is>
      </c>
      <c r="H7" s="13" t="n">
        <v>46082</v>
      </c>
    </row>
    <row r="8">
      <c r="A8" s="10" t="inlineStr">
        <is>
          <t>2569|07</t>
        </is>
      </c>
      <c r="B8" s="10" t="n">
        <v>2569</v>
      </c>
      <c r="C8" s="10" t="n">
        <v>7</v>
      </c>
      <c r="D8" s="10" t="inlineStr">
        <is>
          <t>2026-04</t>
        </is>
      </c>
      <c r="E8" s="10" t="inlineStr">
        <is>
          <t>เม.ย. 69</t>
        </is>
      </c>
      <c r="F8" s="10" t="n">
        <v>3</v>
      </c>
      <c r="G8" s="10" t="inlineStr">
        <is>
          <t>Q3 (เม.ย.–มิ.ย.)</t>
        </is>
      </c>
      <c r="H8" s="13" t="n">
        <v>46113</v>
      </c>
    </row>
    <row r="9">
      <c r="A9" s="10" t="inlineStr">
        <is>
          <t>2569|08</t>
        </is>
      </c>
      <c r="B9" s="10" t="n">
        <v>2569</v>
      </c>
      <c r="C9" s="10" t="n">
        <v>8</v>
      </c>
      <c r="D9" s="10" t="inlineStr">
        <is>
          <t>2026-05</t>
        </is>
      </c>
      <c r="E9" s="10" t="inlineStr">
        <is>
          <t>พ.ค. 69</t>
        </is>
      </c>
      <c r="F9" s="10" t="n">
        <v>3</v>
      </c>
      <c r="G9" s="10" t="inlineStr">
        <is>
          <t>Q3 (เม.ย.–มิ.ย.)</t>
        </is>
      </c>
      <c r="H9" s="13" t="n">
        <v>46143</v>
      </c>
    </row>
    <row r="10">
      <c r="A10" s="10" t="inlineStr">
        <is>
          <t>2569|09</t>
        </is>
      </c>
      <c r="B10" s="10" t="n">
        <v>2569</v>
      </c>
      <c r="C10" s="10" t="n">
        <v>9</v>
      </c>
      <c r="D10" s="10" t="inlineStr">
        <is>
          <t>2026-06</t>
        </is>
      </c>
      <c r="E10" s="10" t="inlineStr">
        <is>
          <t>มิ.ย. 69</t>
        </is>
      </c>
      <c r="F10" s="10" t="n">
        <v>3</v>
      </c>
      <c r="G10" s="10" t="inlineStr">
        <is>
          <t>Q3 (เม.ย.–มิ.ย.)</t>
        </is>
      </c>
      <c r="H10" s="13" t="n">
        <v>46174</v>
      </c>
    </row>
    <row r="11">
      <c r="A11" s="10" t="inlineStr">
        <is>
          <t>2569|10</t>
        </is>
      </c>
      <c r="B11" s="10" t="n">
        <v>2569</v>
      </c>
      <c r="C11" s="10" t="n">
        <v>10</v>
      </c>
      <c r="D11" s="10" t="inlineStr">
        <is>
          <t>2026-07</t>
        </is>
      </c>
      <c r="E11" s="10" t="inlineStr">
        <is>
          <t>ก.ค. 69</t>
        </is>
      </c>
      <c r="F11" s="10" t="n">
        <v>4</v>
      </c>
      <c r="G11" s="10" t="inlineStr">
        <is>
          <t>Q4 (ก.ค.–ก.ย.)</t>
        </is>
      </c>
      <c r="H11" s="13" t="n">
        <v>46204</v>
      </c>
    </row>
    <row r="12">
      <c r="A12" s="10" t="inlineStr">
        <is>
          <t>2569|11</t>
        </is>
      </c>
      <c r="B12" s="10" t="n">
        <v>2569</v>
      </c>
      <c r="C12" s="10" t="n">
        <v>11</v>
      </c>
      <c r="D12" s="10" t="inlineStr">
        <is>
          <t>2026-08</t>
        </is>
      </c>
      <c r="E12" s="10" t="inlineStr">
        <is>
          <t>ส.ค. 69</t>
        </is>
      </c>
      <c r="F12" s="10" t="n">
        <v>4</v>
      </c>
      <c r="G12" s="10" t="inlineStr">
        <is>
          <t>Q4 (ก.ค.–ก.ย.)</t>
        </is>
      </c>
      <c r="H12" s="13" t="n">
        <v>46235</v>
      </c>
    </row>
    <row r="13">
      <c r="A13" s="10" t="inlineStr">
        <is>
          <t>2569|12</t>
        </is>
      </c>
      <c r="B13" s="10" t="n">
        <v>2569</v>
      </c>
      <c r="C13" s="10" t="n">
        <v>12</v>
      </c>
      <c r="D13" s="10" t="inlineStr">
        <is>
          <t>2026-09</t>
        </is>
      </c>
      <c r="E13" s="10" t="inlineStr">
        <is>
          <t>ก.ย. 69</t>
        </is>
      </c>
      <c r="F13" s="10" t="n">
        <v>4</v>
      </c>
      <c r="G13" s="10" t="inlineStr">
        <is>
          <t>Q4 (ก.ค.–ก.ย.)</t>
        </is>
      </c>
      <c r="H13" s="13" t="n">
        <v>46266</v>
      </c>
    </row>
    <row r="14">
      <c r="A14" s="10" t="inlineStr">
        <is>
          <t>2570|01</t>
        </is>
      </c>
      <c r="B14" s="10" t="n">
        <v>2570</v>
      </c>
      <c r="C14" s="10" t="n">
        <v>1</v>
      </c>
      <c r="D14" s="10" t="inlineStr">
        <is>
          <t>2026-10</t>
        </is>
      </c>
      <c r="E14" s="10" t="inlineStr">
        <is>
          <t>ต.ค. 69</t>
        </is>
      </c>
      <c r="F14" s="10" t="n">
        <v>1</v>
      </c>
      <c r="G14" s="10" t="inlineStr">
        <is>
          <t>Q1 (ต.ค.–ธ.ค.)</t>
        </is>
      </c>
      <c r="H14" s="13" t="n">
        <v>46296</v>
      </c>
    </row>
    <row r="15">
      <c r="A15" s="10" t="inlineStr">
        <is>
          <t>2570|02</t>
        </is>
      </c>
      <c r="B15" s="10" t="n">
        <v>2570</v>
      </c>
      <c r="C15" s="10" t="n">
        <v>2</v>
      </c>
      <c r="D15" s="10" t="inlineStr">
        <is>
          <t>2026-11</t>
        </is>
      </c>
      <c r="E15" s="10" t="inlineStr">
        <is>
          <t>พ.ย. 69</t>
        </is>
      </c>
      <c r="F15" s="10" t="n">
        <v>1</v>
      </c>
      <c r="G15" s="10" t="inlineStr">
        <is>
          <t>Q1 (ต.ค.–ธ.ค.)</t>
        </is>
      </c>
      <c r="H15" s="13" t="n">
        <v>46327</v>
      </c>
    </row>
    <row r="16">
      <c r="A16" s="10" t="inlineStr">
        <is>
          <t>2570|03</t>
        </is>
      </c>
      <c r="B16" s="10" t="n">
        <v>2570</v>
      </c>
      <c r="C16" s="10" t="n">
        <v>3</v>
      </c>
      <c r="D16" s="10" t="inlineStr">
        <is>
          <t>2026-12</t>
        </is>
      </c>
      <c r="E16" s="10" t="inlineStr">
        <is>
          <t>ธ.ค. 69</t>
        </is>
      </c>
      <c r="F16" s="10" t="n">
        <v>1</v>
      </c>
      <c r="G16" s="10" t="inlineStr">
        <is>
          <t>Q1 (ต.ค.–ธ.ค.)</t>
        </is>
      </c>
      <c r="H16" s="13" t="n">
        <v>46357</v>
      </c>
    </row>
    <row r="17">
      <c r="A17" s="10" t="inlineStr">
        <is>
          <t>2570|04</t>
        </is>
      </c>
      <c r="B17" s="10" t="n">
        <v>2570</v>
      </c>
      <c r="C17" s="10" t="n">
        <v>4</v>
      </c>
      <c r="D17" s="10" t="inlineStr">
        <is>
          <t>2027-01</t>
        </is>
      </c>
      <c r="E17" s="10" t="inlineStr">
        <is>
          <t>ม.ค. 70</t>
        </is>
      </c>
      <c r="F17" s="10" t="n">
        <v>2</v>
      </c>
      <c r="G17" s="10" t="inlineStr">
        <is>
          <t>Q2 (ม.ค.–มี.ค.)</t>
        </is>
      </c>
      <c r="H17" s="13" t="n">
        <v>46388</v>
      </c>
    </row>
    <row r="18">
      <c r="A18" s="10" t="inlineStr">
        <is>
          <t>2570|05</t>
        </is>
      </c>
      <c r="B18" s="10" t="n">
        <v>2570</v>
      </c>
      <c r="C18" s="10" t="n">
        <v>5</v>
      </c>
      <c r="D18" s="10" t="inlineStr">
        <is>
          <t>2027-02</t>
        </is>
      </c>
      <c r="E18" s="10" t="inlineStr">
        <is>
          <t>ก.พ. 70</t>
        </is>
      </c>
      <c r="F18" s="10" t="n">
        <v>2</v>
      </c>
      <c r="G18" s="10" t="inlineStr">
        <is>
          <t>Q2 (ม.ค.–มี.ค.)</t>
        </is>
      </c>
      <c r="H18" s="13" t="n">
        <v>46419</v>
      </c>
    </row>
    <row r="19">
      <c r="A19" s="10" t="inlineStr">
        <is>
          <t>2570|06</t>
        </is>
      </c>
      <c r="B19" s="10" t="n">
        <v>2570</v>
      </c>
      <c r="C19" s="10" t="n">
        <v>6</v>
      </c>
      <c r="D19" s="10" t="inlineStr">
        <is>
          <t>2027-03</t>
        </is>
      </c>
      <c r="E19" s="10" t="inlineStr">
        <is>
          <t>มี.ค. 70</t>
        </is>
      </c>
      <c r="F19" s="10" t="n">
        <v>2</v>
      </c>
      <c r="G19" s="10" t="inlineStr">
        <is>
          <t>Q2 (ม.ค.–มี.ค.)</t>
        </is>
      </c>
      <c r="H19" s="13" t="n">
        <v>46447</v>
      </c>
    </row>
    <row r="20">
      <c r="A20" s="10" t="inlineStr">
        <is>
          <t>2570|07</t>
        </is>
      </c>
      <c r="B20" s="10" t="n">
        <v>2570</v>
      </c>
      <c r="C20" s="10" t="n">
        <v>7</v>
      </c>
      <c r="D20" s="10" t="inlineStr">
        <is>
          <t>2027-04</t>
        </is>
      </c>
      <c r="E20" s="10" t="inlineStr">
        <is>
          <t>เม.ย. 70</t>
        </is>
      </c>
      <c r="F20" s="10" t="n">
        <v>3</v>
      </c>
      <c r="G20" s="10" t="inlineStr">
        <is>
          <t>Q3 (เม.ย.–มิ.ย.)</t>
        </is>
      </c>
      <c r="H20" s="13" t="n">
        <v>46478</v>
      </c>
    </row>
    <row r="21">
      <c r="A21" s="10" t="inlineStr">
        <is>
          <t>2570|08</t>
        </is>
      </c>
      <c r="B21" s="10" t="n">
        <v>2570</v>
      </c>
      <c r="C21" s="10" t="n">
        <v>8</v>
      </c>
      <c r="D21" s="10" t="inlineStr">
        <is>
          <t>2027-05</t>
        </is>
      </c>
      <c r="E21" s="10" t="inlineStr">
        <is>
          <t>พ.ค. 70</t>
        </is>
      </c>
      <c r="F21" s="10" t="n">
        <v>3</v>
      </c>
      <c r="G21" s="10" t="inlineStr">
        <is>
          <t>Q3 (เม.ย.–มิ.ย.)</t>
        </is>
      </c>
      <c r="H21" s="13" t="n">
        <v>46508</v>
      </c>
    </row>
    <row r="22">
      <c r="A22" s="10" t="inlineStr">
        <is>
          <t>2570|09</t>
        </is>
      </c>
      <c r="B22" s="10" t="n">
        <v>2570</v>
      </c>
      <c r="C22" s="10" t="n">
        <v>9</v>
      </c>
      <c r="D22" s="10" t="inlineStr">
        <is>
          <t>2027-06</t>
        </is>
      </c>
      <c r="E22" s="10" t="inlineStr">
        <is>
          <t>มิ.ย. 70</t>
        </is>
      </c>
      <c r="F22" s="10" t="n">
        <v>3</v>
      </c>
      <c r="G22" s="10" t="inlineStr">
        <is>
          <t>Q3 (เม.ย.–มิ.ย.)</t>
        </is>
      </c>
      <c r="H22" s="13" t="n">
        <v>46539</v>
      </c>
    </row>
    <row r="23">
      <c r="A23" s="10" t="inlineStr">
        <is>
          <t>2570|10</t>
        </is>
      </c>
      <c r="B23" s="10" t="n">
        <v>2570</v>
      </c>
      <c r="C23" s="10" t="n">
        <v>10</v>
      </c>
      <c r="D23" s="10" t="inlineStr">
        <is>
          <t>2027-07</t>
        </is>
      </c>
      <c r="E23" s="10" t="inlineStr">
        <is>
          <t>ก.ค. 70</t>
        </is>
      </c>
      <c r="F23" s="10" t="n">
        <v>4</v>
      </c>
      <c r="G23" s="10" t="inlineStr">
        <is>
          <t>Q4 (ก.ค.–ก.ย.)</t>
        </is>
      </c>
      <c r="H23" s="13" t="n">
        <v>46569</v>
      </c>
    </row>
    <row r="24">
      <c r="A24" s="10" t="inlineStr">
        <is>
          <t>2570|11</t>
        </is>
      </c>
      <c r="B24" s="10" t="n">
        <v>2570</v>
      </c>
      <c r="C24" s="10" t="n">
        <v>11</v>
      </c>
      <c r="D24" s="10" t="inlineStr">
        <is>
          <t>2027-08</t>
        </is>
      </c>
      <c r="E24" s="10" t="inlineStr">
        <is>
          <t>ส.ค. 70</t>
        </is>
      </c>
      <c r="F24" s="10" t="n">
        <v>4</v>
      </c>
      <c r="G24" s="10" t="inlineStr">
        <is>
          <t>Q4 (ก.ค.–ก.ย.)</t>
        </is>
      </c>
      <c r="H24" s="13" t="n">
        <v>46600</v>
      </c>
    </row>
    <row r="25">
      <c r="A25" s="10" t="inlineStr">
        <is>
          <t>2570|12</t>
        </is>
      </c>
      <c r="B25" s="10" t="n">
        <v>2570</v>
      </c>
      <c r="C25" s="10" t="n">
        <v>12</v>
      </c>
      <c r="D25" s="10" t="inlineStr">
        <is>
          <t>2027-09</t>
        </is>
      </c>
      <c r="E25" s="10" t="inlineStr">
        <is>
          <t>ก.ย. 70</t>
        </is>
      </c>
      <c r="F25" s="10" t="n">
        <v>4</v>
      </c>
      <c r="G25" s="10" t="inlineStr">
        <is>
          <t>Q4 (ก.ค.–ก.ย.)</t>
        </is>
      </c>
      <c r="H25" s="13" t="n">
        <v>46631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</cols>
  <sheetData>
    <row r="1">
      <c r="A1" s="7" t="inlineStr">
        <is>
          <t>group_code</t>
        </is>
      </c>
      <c r="B1" s="7" t="inlineStr">
        <is>
          <t>group_label</t>
        </is>
      </c>
      <c r="C1" s="7" t="inlineStr">
        <is>
          <t>sort_order</t>
        </is>
      </c>
    </row>
    <row r="2">
      <c r="A2" s="10" t="inlineStr">
        <is>
          <t>dept</t>
        </is>
      </c>
      <c r="B2" s="10" t="inlineStr">
        <is>
          <t>ส่วนที่ 1 · ภาพรวมแผนก (Function Base)</t>
        </is>
      </c>
      <c r="C2" s="10" t="n">
        <v>1</v>
      </c>
    </row>
    <row r="3">
      <c r="A3" s="10" t="inlineStr">
        <is>
          <t>individual</t>
        </is>
      </c>
      <c r="B3" s="10" t="inlineStr">
        <is>
          <t>ส่วนที่ 1 · KPI รายบุคคล</t>
        </is>
      </c>
      <c r="C3" s="10" t="n">
        <v>2</v>
      </c>
    </row>
    <row r="4">
      <c r="A4" s="10" t="inlineStr">
        <is>
          <t>agenda</t>
        </is>
      </c>
      <c r="B4" s="10" t="inlineStr">
        <is>
          <t>ส่วนที่ 2 · Agenda Base</t>
        </is>
      </c>
      <c r="C4" s="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</cols>
  <sheetData>
    <row r="1">
      <c r="A1" s="7" t="inlineStr">
        <is>
          <t>status_code</t>
        </is>
      </c>
      <c r="B1" s="7" t="inlineStr">
        <is>
          <t>status_label</t>
        </is>
      </c>
      <c r="C1" s="7" t="inlineStr">
        <is>
          <t>color_hex</t>
        </is>
      </c>
      <c r="D1" s="7" t="inlineStr">
        <is>
          <t>sort_order</t>
        </is>
      </c>
    </row>
    <row r="2">
      <c r="A2" s="10" t="inlineStr">
        <is>
          <t>not_started</t>
        </is>
      </c>
      <c r="B2" s="10" t="inlineStr">
        <is>
          <t>ยังไม่รายงาน</t>
        </is>
      </c>
      <c r="C2" s="10" t="inlineStr">
        <is>
          <t>#8991A3</t>
        </is>
      </c>
      <c r="D2" s="10" t="n">
        <v>1</v>
      </c>
    </row>
    <row r="3">
      <c r="A3" s="10" t="inlineStr">
        <is>
          <t>in_progress</t>
        </is>
      </c>
      <c r="B3" s="10" t="inlineStr">
        <is>
          <t>กำลังดำเนินการ</t>
        </is>
      </c>
      <c r="C3" s="10" t="inlineStr">
        <is>
          <t>#C07600</t>
        </is>
      </c>
      <c r="D3" s="10" t="n">
        <v>2</v>
      </c>
    </row>
    <row r="4">
      <c r="A4" s="10" t="inlineStr">
        <is>
          <t>done</t>
        </is>
      </c>
      <c r="B4" s="10" t="inlineStr">
        <is>
          <t>เสร็จสมบูรณ์</t>
        </is>
      </c>
      <c r="C4" s="10" t="inlineStr">
        <is>
          <t>#0CA30C</t>
        </is>
      </c>
      <c r="D4" s="10" t="n">
        <v>3</v>
      </c>
    </row>
    <row r="5">
      <c r="A5" s="10" t="inlineStr">
        <is>
          <t>delayed</t>
        </is>
      </c>
      <c r="B5" s="10" t="inlineStr">
        <is>
          <t>ล่าช้า / ติดปัญหา</t>
        </is>
      </c>
      <c r="C5" s="10" t="inlineStr">
        <is>
          <t>#C22F2F</t>
        </is>
      </c>
      <c r="D5" s="1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7" t="inlineStr">
        <is>
          <t>metric_type</t>
        </is>
      </c>
      <c r="B1" s="7" t="inlineStr">
        <is>
          <t>metric_label</t>
        </is>
      </c>
      <c r="C1" s="7" t="inlineStr">
        <is>
          <t>how_to_record</t>
        </is>
      </c>
    </row>
    <row r="2">
      <c r="A2" s="10" t="inlineStr">
        <is>
          <t>percent</t>
        </is>
      </c>
      <c r="B2" s="10" t="inlineStr">
        <is>
          <t>ร้อยละ (%)</t>
        </is>
      </c>
      <c r="C2" s="10" t="inlineStr">
        <is>
          <t>กรอกค่าที่ทำได้จริงใน actual_value เช่น 92%</t>
        </is>
      </c>
    </row>
    <row r="3">
      <c r="A3" s="10" t="inlineStr">
        <is>
          <t>count</t>
        </is>
      </c>
      <c r="B3" s="10" t="inlineStr">
        <is>
          <t>จำนวน (นับสะสมตามปีงบประมาณ)</t>
        </is>
      </c>
      <c r="C3" s="10" t="inlineStr">
        <is>
          <t>กรอกจำนวนของเดือนนั้นใน count_value ระบบรวมยอดสะสมให้ในแท็บ summary</t>
        </is>
      </c>
    </row>
    <row r="4">
      <c r="A4" s="10" t="inlineStr">
        <is>
          <t>other</t>
        </is>
      </c>
      <c r="B4" s="10" t="inlineStr">
        <is>
          <t>อื่นๆ / ข้อความอิสระ</t>
        </is>
      </c>
      <c r="C4" s="10" t="inlineStr">
        <is>
          <t>กรอกผลเป็นข้อความใน actual_value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7" t="inlineStr">
        <is>
          <t>target_direction</t>
        </is>
      </c>
      <c r="B1" s="7" t="inlineStr">
        <is>
          <t>direction_label</t>
        </is>
      </c>
    </row>
    <row r="2">
      <c r="A2" s="10" t="inlineStr">
        <is>
          <t>gte</t>
        </is>
      </c>
      <c r="B2" s="10" t="inlineStr">
        <is>
          <t>อย่างน้อย (ยิ่งมากยิ่งดี)</t>
        </is>
      </c>
    </row>
    <row r="3">
      <c r="A3" s="10" t="inlineStr">
        <is>
          <t>lte</t>
        </is>
      </c>
      <c r="B3" s="10" t="inlineStr">
        <is>
          <t>ไม่เกิน (ยิ่งน้อยยิ่งดี)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62" customWidth="1" min="4" max="4"/>
    <col width="28" customWidth="1" min="5" max="5"/>
    <col width="12" customWidth="1" min="6" max="6"/>
  </cols>
  <sheetData>
    <row r="1">
      <c r="A1" s="7" t="inlineStr">
        <is>
          <t>table_name</t>
        </is>
      </c>
      <c r="B1" s="7" t="inlineStr">
        <is>
          <t>column_name</t>
        </is>
      </c>
      <c r="C1" s="7" t="inlineStr">
        <is>
          <t>data_type</t>
        </is>
      </c>
      <c r="D1" s="7" t="inlineStr">
        <is>
          <t>description</t>
        </is>
      </c>
      <c r="E1" s="7" t="inlineStr">
        <is>
          <t>example</t>
        </is>
      </c>
      <c r="F1" s="7" t="inlineStr">
        <is>
          <t>required</t>
        </is>
      </c>
    </row>
    <row r="2">
      <c r="A2" s="10" t="inlineStr">
        <is>
          <t>kpi_master</t>
        </is>
      </c>
      <c r="B2" s="10" t="inlineStr">
        <is>
          <t>kpi_id</t>
        </is>
      </c>
      <c r="C2" s="10" t="inlineStr">
        <is>
          <t>ข้อความ</t>
        </is>
      </c>
      <c r="D2" s="10" t="inlineStr">
        <is>
          <t>รหัส KPI ไม่ซ้ำ (Primary Key) ตัวใหม่ให้ต่อเลข เช่น K28</t>
        </is>
      </c>
      <c r="E2" s="10" t="inlineStr">
        <is>
          <t>K07</t>
        </is>
      </c>
      <c r="F2" s="10" t="inlineStr">
        <is>
          <t>ใช่</t>
        </is>
      </c>
    </row>
    <row r="3">
      <c r="A3" s="10" t="inlineStr">
        <is>
          <t>kpi_master</t>
        </is>
      </c>
      <c r="B3" s="10" t="inlineStr">
        <is>
          <t>kpi_no</t>
        </is>
      </c>
      <c r="C3" s="10" t="inlineStr">
        <is>
          <t>ข้อความ</t>
        </is>
      </c>
      <c r="D3" s="10" t="inlineStr">
        <is>
          <t>ลำดับที่แสดงในแผน (เป็นข้อความเพราะ Agenda ใช้รหัสอย่าง WU-4-1-8)</t>
        </is>
      </c>
      <c r="E3" s="10" t="inlineStr">
        <is>
          <t>7</t>
        </is>
      </c>
      <c r="F3" s="10" t="inlineStr">
        <is>
          <t>ใช่</t>
        </is>
      </c>
    </row>
    <row r="4">
      <c r="A4" s="10" t="inlineStr">
        <is>
          <t>kpi_master</t>
        </is>
      </c>
      <c r="B4" s="10" t="inlineStr">
        <is>
          <t>group_code</t>
        </is>
      </c>
      <c r="C4" s="10" t="inlineStr">
        <is>
          <t>ข้อความ</t>
        </is>
      </c>
      <c r="D4" s="10" t="inlineStr">
        <is>
          <t>ส่วนของ KPI อ้างอิง ref_group</t>
        </is>
      </c>
      <c r="E4" s="10" t="inlineStr">
        <is>
          <t>dept</t>
        </is>
      </c>
      <c r="F4" s="10" t="inlineStr">
        <is>
          <t>ใช่</t>
        </is>
      </c>
    </row>
    <row r="5">
      <c r="A5" s="10" t="inlineStr">
        <is>
          <t>kpi_master</t>
        </is>
      </c>
      <c r="B5" s="10" t="inlineStr">
        <is>
          <t>category</t>
        </is>
      </c>
      <c r="C5" s="10" t="inlineStr">
        <is>
          <t>ข้อความ</t>
        </is>
      </c>
      <c r="D5" s="10" t="inlineStr">
        <is>
          <t>หมวดตามแผน (ถ้ามี)</t>
        </is>
      </c>
      <c r="E5" s="10" t="inlineStr">
        <is>
          <t>หมวด 4</t>
        </is>
      </c>
      <c r="F5" s="10" t="inlineStr">
        <is>
          <t>ไม่</t>
        </is>
      </c>
    </row>
    <row r="6">
      <c r="A6" s="10" t="inlineStr">
        <is>
          <t>kpi_master</t>
        </is>
      </c>
      <c r="B6" s="10" t="inlineStr">
        <is>
          <t>owner_text</t>
        </is>
      </c>
      <c r="C6" s="10" t="inlineStr">
        <is>
          <t>ข้อความ</t>
        </is>
      </c>
      <c r="D6" s="10" t="inlineStr">
        <is>
          <t>ผู้รับผิดชอบตามที่แสดง คั่นหลายคนด้วยจุลภาค และต้องเพิ่มใน kpi_owners ด้วย</t>
        </is>
      </c>
      <c r="E6" s="10" t="inlineStr">
        <is>
          <t>รีซะห์</t>
        </is>
      </c>
      <c r="F6" s="10" t="inlineStr">
        <is>
          <t>ใช่</t>
        </is>
      </c>
    </row>
    <row r="7">
      <c r="A7" s="10" t="inlineStr">
        <is>
          <t>kpi_master</t>
        </is>
      </c>
      <c r="B7" s="10" t="inlineStr">
        <is>
          <t>task_name</t>
        </is>
      </c>
      <c r="C7" s="10" t="inlineStr">
        <is>
          <t>ข้อความ</t>
        </is>
      </c>
      <c r="D7" s="10" t="inlineStr">
        <is>
          <t>ชื่องาน / ภาระงาน</t>
        </is>
      </c>
      <c r="E7" s="10" t="inlineStr">
        <is>
          <t>งานบริหารจัดการอุบัติการณ์</t>
        </is>
      </c>
      <c r="F7" s="10" t="inlineStr">
        <is>
          <t>ใช่</t>
        </is>
      </c>
    </row>
    <row r="8">
      <c r="A8" s="10" t="inlineStr">
        <is>
          <t>kpi_master</t>
        </is>
      </c>
      <c r="B8" s="10" t="inlineStr">
        <is>
          <t>kpi_name</t>
        </is>
      </c>
      <c r="C8" s="10" t="inlineStr">
        <is>
          <t>ข้อความ</t>
        </is>
      </c>
      <c r="D8" s="10" t="inlineStr">
        <is>
          <t>ตัวชี้วัด เว้นว่างได้ถ้ายังไม่กำหนด (จะไม่ถูกนับในช่องที่ต้องรายงาน)</t>
        </is>
      </c>
      <c r="E8" s="10" t="inlineStr">
        <is>
          <t>ร้อยละเคสที่ตอบสนองได้ตาม SLA</t>
        </is>
      </c>
      <c r="F8" s="10" t="inlineStr">
        <is>
          <t>ไม่</t>
        </is>
      </c>
    </row>
    <row r="9">
      <c r="A9" s="10" t="inlineStr">
        <is>
          <t>kpi_master</t>
        </is>
      </c>
      <c r="B9" s="10" t="inlineStr">
        <is>
          <t>metric_type</t>
        </is>
      </c>
      <c r="C9" s="10" t="inlineStr">
        <is>
          <t>ข้อความ</t>
        </is>
      </c>
      <c r="D9" s="10" t="inlineStr">
        <is>
          <t>ประเภทตัวชี้วัด อ้างอิง ref_metric_type</t>
        </is>
      </c>
      <c r="E9" s="10" t="inlineStr">
        <is>
          <t>percent</t>
        </is>
      </c>
      <c r="F9" s="10" t="inlineStr">
        <is>
          <t>ใช่</t>
        </is>
      </c>
    </row>
    <row r="10">
      <c r="A10" s="10" t="inlineStr">
        <is>
          <t>kpi_master</t>
        </is>
      </c>
      <c r="B10" s="10" t="inlineStr">
        <is>
          <t>target_text</t>
        </is>
      </c>
      <c r="C10" s="10" t="inlineStr">
        <is>
          <t>ข้อความ</t>
        </is>
      </c>
      <c r="D10" s="10" t="inlineStr">
        <is>
          <t>เป้าหมายแบบข้อความสำหรับแสดงผล</t>
        </is>
      </c>
      <c r="E10" s="10" t="inlineStr">
        <is>
          <t>&gt;= 85%</t>
        </is>
      </c>
      <c r="F10" s="10" t="inlineStr">
        <is>
          <t>ใช่</t>
        </is>
      </c>
    </row>
    <row r="11">
      <c r="A11" s="10" t="inlineStr">
        <is>
          <t>kpi_master</t>
        </is>
      </c>
      <c r="B11" s="10" t="inlineStr">
        <is>
          <t>target_num</t>
        </is>
      </c>
      <c r="C11" s="10" t="inlineStr">
        <is>
          <t>ตัวเลข</t>
        </is>
      </c>
      <c r="D11" s="10" t="inlineStr">
        <is>
          <t>เป้าหมายเป็นตัวเลข ใช้เฉพาะ metric_type = count</t>
        </is>
      </c>
      <c r="E11" s="10" t="inlineStr">
        <is>
          <t>7</t>
        </is>
      </c>
      <c r="F11" s="10" t="inlineStr">
        <is>
          <t>เฉพาะ count</t>
        </is>
      </c>
    </row>
    <row r="12">
      <c r="A12" s="10" t="inlineStr">
        <is>
          <t>kpi_master</t>
        </is>
      </c>
      <c r="B12" s="10" t="inlineStr">
        <is>
          <t>target_unit</t>
        </is>
      </c>
      <c r="C12" s="10" t="inlineStr">
        <is>
          <t>ข้อความ</t>
        </is>
      </c>
      <c r="D12" s="10" t="inlineStr">
        <is>
          <t>หน่วยนับ</t>
        </is>
      </c>
      <c r="E12" s="10" t="inlineStr">
        <is>
          <t>แผน</t>
        </is>
      </c>
      <c r="F12" s="10" t="inlineStr">
        <is>
          <t>ไม่</t>
        </is>
      </c>
    </row>
    <row r="13">
      <c r="A13" s="10" t="inlineStr">
        <is>
          <t>kpi_master</t>
        </is>
      </c>
      <c r="B13" s="10" t="inlineStr">
        <is>
          <t>target_direction</t>
        </is>
      </c>
      <c r="C13" s="10" t="inlineStr">
        <is>
          <t>ข้อความ</t>
        </is>
      </c>
      <c r="D13" s="10" t="inlineStr">
        <is>
          <t>gte = อย่างน้อย, lte = ไม่เกิน อ้างอิง ref_target_direction</t>
        </is>
      </c>
      <c r="E13" s="10" t="inlineStr">
        <is>
          <t>gte</t>
        </is>
      </c>
      <c r="F13" s="10" t="inlineStr">
        <is>
          <t>เฉพาะ count</t>
        </is>
      </c>
    </row>
    <row r="14">
      <c r="A14" s="10" t="inlineStr">
        <is>
          <t>kpi_master</t>
        </is>
      </c>
      <c r="B14" s="10" t="inlineStr">
        <is>
          <t>activity_note</t>
        </is>
      </c>
      <c r="C14" s="10" t="inlineStr">
        <is>
          <t>ข้อความ</t>
        </is>
      </c>
      <c r="D14" s="10" t="inlineStr">
        <is>
          <t>รายละเอียด / ขอบเขตกิจกรรม</t>
        </is>
      </c>
      <c r="E14" s="10" t="inlineStr"/>
      <c r="F14" s="10" t="inlineStr">
        <is>
          <t>ไม่</t>
        </is>
      </c>
    </row>
    <row r="15">
      <c r="A15" s="10" t="inlineStr">
        <is>
          <t>kpi_master</t>
        </is>
      </c>
      <c r="B15" s="10" t="inlineStr">
        <is>
          <t>is_active</t>
        </is>
      </c>
      <c r="C15" s="10" t="inlineStr">
        <is>
          <t>TRUE/FALSE</t>
        </is>
      </c>
      <c r="D15" s="10" t="inlineStr">
        <is>
          <t>FALSE = เลิกใช้ (แทนการลบแถว เพื่อเก็บประวัติผลรายเดือนไว้)</t>
        </is>
      </c>
      <c r="E15" s="10" t="inlineStr">
        <is>
          <t>TRUE</t>
        </is>
      </c>
      <c r="F15" s="10" t="inlineStr">
        <is>
          <t>ใช่</t>
        </is>
      </c>
    </row>
    <row r="16">
      <c r="A16" s="10" t="inlineStr">
        <is>
          <t>kpi_master</t>
        </is>
      </c>
      <c r="B16" s="10" t="inlineStr">
        <is>
          <t>created_at / updated_at</t>
        </is>
      </c>
      <c r="C16" s="10" t="inlineStr">
        <is>
          <t>วันที่ข้อความ</t>
        </is>
      </c>
      <c r="D16" s="10" t="inlineStr">
        <is>
          <t>วันที่สร้าง / แก้ไขล่าสุด รูปแบบ YYYY-MM-DD</t>
        </is>
      </c>
      <c r="E16" s="10" t="inlineStr">
        <is>
          <t>2026-10-05</t>
        </is>
      </c>
      <c r="F16" s="10" t="inlineStr">
        <is>
          <t>ไม่</t>
        </is>
      </c>
    </row>
    <row r="17">
      <c r="A17" s="10" t="inlineStr">
        <is>
          <t>kpi_owners</t>
        </is>
      </c>
      <c r="B17" s="10" t="inlineStr">
        <is>
          <t>kpi_id</t>
        </is>
      </c>
      <c r="C17" s="10" t="inlineStr">
        <is>
          <t>ข้อความ</t>
        </is>
      </c>
      <c r="D17" s="10" t="inlineStr">
        <is>
          <t>อ้างอิง kpi_master.kpi_id (Foreign Key)</t>
        </is>
      </c>
      <c r="E17" s="10" t="inlineStr">
        <is>
          <t>K09</t>
        </is>
      </c>
      <c r="F17" s="10" t="inlineStr">
        <is>
          <t>ใช่</t>
        </is>
      </c>
    </row>
    <row r="18">
      <c r="A18" s="10" t="inlineStr">
        <is>
          <t>kpi_owners</t>
        </is>
      </c>
      <c r="B18" s="10" t="inlineStr">
        <is>
          <t>owner_name</t>
        </is>
      </c>
      <c r="C18" s="10" t="inlineStr">
        <is>
          <t>ข้อความ</t>
        </is>
      </c>
      <c r="D18" s="10" t="inlineStr">
        <is>
          <t>ชื่อผู้รับผิดชอบ 1 คนต่อแถว</t>
        </is>
      </c>
      <c r="E18" s="10" t="inlineStr">
        <is>
          <t>พี่ก้อย</t>
        </is>
      </c>
      <c r="F18" s="10" t="inlineStr">
        <is>
          <t>ใช่</t>
        </is>
      </c>
    </row>
    <row r="19">
      <c r="A19" s="10" t="inlineStr">
        <is>
          <t>monthly_entries</t>
        </is>
      </c>
      <c r="B19" s="10" t="inlineStr">
        <is>
          <t>entry_id</t>
        </is>
      </c>
      <c r="C19" s="10" t="inlineStr">
        <is>
          <t>ข้อความ</t>
        </is>
      </c>
      <c r="D19" s="10" t="inlineStr">
        <is>
          <t>คีย์หลัก = kpi_id__month_key (1 KPI ต่อ 1 เดือนมีได้แถวเดียว)</t>
        </is>
      </c>
      <c r="E19" s="10" t="inlineStr">
        <is>
          <t>K07__2026-09</t>
        </is>
      </c>
      <c r="F19" s="10" t="inlineStr">
        <is>
          <t>ใช่</t>
        </is>
      </c>
    </row>
    <row r="20">
      <c r="A20" s="10" t="inlineStr">
        <is>
          <t>monthly_entries</t>
        </is>
      </c>
      <c r="B20" s="10" t="inlineStr">
        <is>
          <t>kpi_id</t>
        </is>
      </c>
      <c r="C20" s="10" t="inlineStr">
        <is>
          <t>ข้อความ</t>
        </is>
      </c>
      <c r="D20" s="10" t="inlineStr">
        <is>
          <t>อ้างอิง kpi_master.kpi_id</t>
        </is>
      </c>
      <c r="E20" s="10" t="inlineStr">
        <is>
          <t>K07</t>
        </is>
      </c>
      <c r="F20" s="10" t="inlineStr">
        <is>
          <t>ใช่</t>
        </is>
      </c>
    </row>
    <row r="21">
      <c r="A21" s="10" t="inlineStr">
        <is>
          <t>monthly_entries</t>
        </is>
      </c>
      <c r="B21" s="10" t="inlineStr">
        <is>
          <t>fiscal_year</t>
        </is>
      </c>
      <c r="C21" s="10" t="inlineStr">
        <is>
          <t>ตัวเลข</t>
        </is>
      </c>
      <c r="D21" s="10" t="inlineStr">
        <is>
          <t>ปีงบประมาณ พ.ศ.</t>
        </is>
      </c>
      <c r="E21" s="10" t="inlineStr">
        <is>
          <t>2569</t>
        </is>
      </c>
      <c r="F21" s="10" t="inlineStr">
        <is>
          <t>ใช่</t>
        </is>
      </c>
    </row>
    <row r="22">
      <c r="A22" s="10" t="inlineStr">
        <is>
          <t>monthly_entries</t>
        </is>
      </c>
      <c r="B22" s="10" t="inlineStr">
        <is>
          <t>month_key</t>
        </is>
      </c>
      <c r="C22" s="10" t="inlineStr">
        <is>
          <t>ข้อความ</t>
        </is>
      </c>
      <c r="D22" s="10" t="inlineStr">
        <is>
          <t>เดือนแบบ ค.ศ. YYYY-MM อ้างอิง fiscal_months</t>
        </is>
      </c>
      <c r="E22" s="10" t="inlineStr">
        <is>
          <t>2026-09</t>
        </is>
      </c>
      <c r="F22" s="10" t="inlineStr">
        <is>
          <t>ใช่</t>
        </is>
      </c>
    </row>
    <row r="23">
      <c r="A23" s="10" t="inlineStr">
        <is>
          <t>monthly_entries</t>
        </is>
      </c>
      <c r="B23" s="10" t="inlineStr">
        <is>
          <t>fiscal_month_no</t>
        </is>
      </c>
      <c r="C23" s="10" t="inlineStr">
        <is>
          <t>ตัวเลข</t>
        </is>
      </c>
      <c r="D23" s="10" t="inlineStr">
        <is>
          <t>ลำดับเดือนในปีงบประมาณ ต.ค. = 1 ถึง ก.ย. = 12 (ดูจาก fiscal_months)</t>
        </is>
      </c>
      <c r="E23" s="10" t="inlineStr">
        <is>
          <t>12</t>
        </is>
      </c>
      <c r="F23" s="10" t="inlineStr">
        <is>
          <t>ใช่</t>
        </is>
      </c>
    </row>
    <row r="24">
      <c r="A24" s="10" t="inlineStr">
        <is>
          <t>monthly_entries</t>
        </is>
      </c>
      <c r="B24" s="10" t="inlineStr">
        <is>
          <t>quarter</t>
        </is>
      </c>
      <c r="C24" s="10" t="inlineStr">
        <is>
          <t>ตัวเลข</t>
        </is>
      </c>
      <c r="D24" s="10" t="inlineStr">
        <is>
          <t>ไตรมาส 1-4</t>
        </is>
      </c>
      <c r="E24" s="10" t="inlineStr">
        <is>
          <t>4</t>
        </is>
      </c>
      <c r="F24" s="10" t="inlineStr">
        <is>
          <t>ใช่</t>
        </is>
      </c>
    </row>
    <row r="25">
      <c r="A25" s="10" t="inlineStr">
        <is>
          <t>monthly_entries</t>
        </is>
      </c>
      <c r="B25" s="10" t="inlineStr">
        <is>
          <t>status_code</t>
        </is>
      </c>
      <c r="C25" s="10" t="inlineStr">
        <is>
          <t>ข้อความ</t>
        </is>
      </c>
      <c r="D25" s="10" t="inlineStr">
        <is>
          <t>สถานะ อ้างอิง ref_status</t>
        </is>
      </c>
      <c r="E25" s="10" t="inlineStr">
        <is>
          <t>done</t>
        </is>
      </c>
      <c r="F25" s="10" t="inlineStr">
        <is>
          <t>ใช่</t>
        </is>
      </c>
    </row>
    <row r="26">
      <c r="A26" s="10" t="inlineStr">
        <is>
          <t>monthly_entries</t>
        </is>
      </c>
      <c r="B26" s="10" t="inlineStr">
        <is>
          <t>actual_value</t>
        </is>
      </c>
      <c r="C26" s="10" t="inlineStr">
        <is>
          <t>ข้อความ</t>
        </is>
      </c>
      <c r="D26" s="10" t="inlineStr">
        <is>
          <t>ค่าที่ทำได้จริง สำหรับ percent / other</t>
        </is>
      </c>
      <c r="E26" s="10" t="inlineStr">
        <is>
          <t>88%</t>
        </is>
      </c>
      <c r="F26" s="10" t="inlineStr">
        <is>
          <t>ไม่</t>
        </is>
      </c>
    </row>
    <row r="27">
      <c r="A27" s="10" t="inlineStr">
        <is>
          <t>monthly_entries</t>
        </is>
      </c>
      <c r="B27" s="10" t="inlineStr">
        <is>
          <t>count_value</t>
        </is>
      </c>
      <c r="C27" s="10" t="inlineStr">
        <is>
          <t>ตัวเลข</t>
        </is>
      </c>
      <c r="D27" s="10" t="inlineStr">
        <is>
          <t>จำนวนของเดือนนั้น สำหรับ count (ไม่ใช่ยอดสะสม)</t>
        </is>
      </c>
      <c r="E27" s="10" t="inlineStr">
        <is>
          <t>1</t>
        </is>
      </c>
      <c r="F27" s="10" t="inlineStr">
        <is>
          <t>ไม่</t>
        </is>
      </c>
    </row>
    <row r="28">
      <c r="A28" s="10" t="inlineStr">
        <is>
          <t>monthly_entries</t>
        </is>
      </c>
      <c r="B28" s="10" t="inlineStr">
        <is>
          <t>activity_detail</t>
        </is>
      </c>
      <c r="C28" s="10" t="inlineStr">
        <is>
          <t>ข้อความ</t>
        </is>
      </c>
      <c r="D28" s="10" t="inlineStr">
        <is>
          <t>รายละเอียดกิจกรรมที่ทำในเดือนนี้</t>
        </is>
      </c>
      <c r="E28" s="10" t="inlineStr"/>
      <c r="F28" s="10" t="inlineStr">
        <is>
          <t>ไม่</t>
        </is>
      </c>
    </row>
    <row r="29">
      <c r="A29" s="10" t="inlineStr">
        <is>
          <t>monthly_entries</t>
        </is>
      </c>
      <c r="B29" s="10" t="inlineStr">
        <is>
          <t>note</t>
        </is>
      </c>
      <c r="C29" s="10" t="inlineStr">
        <is>
          <t>ข้อความ</t>
        </is>
      </c>
      <c r="D29" s="10" t="inlineStr">
        <is>
          <t>หมายเหตุเพิ่มเติม</t>
        </is>
      </c>
      <c r="E29" s="10" t="inlineStr"/>
      <c r="F29" s="10" t="inlineStr">
        <is>
          <t>ไม่</t>
        </is>
      </c>
    </row>
    <row r="30">
      <c r="A30" s="10" t="inlineStr">
        <is>
          <t>monthly_entries</t>
        </is>
      </c>
      <c r="B30" s="10" t="inlineStr">
        <is>
          <t>updated_by</t>
        </is>
      </c>
      <c r="C30" s="10" t="inlineStr">
        <is>
          <t>ข้อความ</t>
        </is>
      </c>
      <c r="D30" s="10" t="inlineStr">
        <is>
          <t>ผู้บันทึก</t>
        </is>
      </c>
      <c r="E30" s="10" t="inlineStr">
        <is>
          <t>รุ้ง</t>
        </is>
      </c>
      <c r="F30" s="10" t="inlineStr">
        <is>
          <t>ใช่</t>
        </is>
      </c>
    </row>
    <row r="31">
      <c r="A31" s="10" t="inlineStr">
        <is>
          <t>monthly_entries</t>
        </is>
      </c>
      <c r="B31" s="10" t="inlineStr">
        <is>
          <t>updated_at</t>
        </is>
      </c>
      <c r="C31" s="10" t="inlineStr">
        <is>
          <t>วันเวลาข้อความ</t>
        </is>
      </c>
      <c r="D31" s="10" t="inlineStr">
        <is>
          <t>เวลาที่บันทึก YYYY-MM-DD HH:MM</t>
        </is>
      </c>
      <c r="E31" s="10" t="inlineStr">
        <is>
          <t>2026-10-05 09:00</t>
        </is>
      </c>
      <c r="F31" s="10" t="inlineStr">
        <is>
          <t>ใช่</t>
        </is>
      </c>
    </row>
    <row r="32">
      <c r="A32" s="10" t="inlineStr">
        <is>
          <t>fiscal_months</t>
        </is>
      </c>
      <c r="B32" s="10" t="inlineStr">
        <is>
          <t>fm_key</t>
        </is>
      </c>
      <c r="C32" s="10" t="inlineStr">
        <is>
          <t>ข้อความ</t>
        </is>
      </c>
      <c r="D32" s="10" t="inlineStr">
        <is>
          <t>คีย์ = fiscal_year|ลำดับเดือน 2 หลัก</t>
        </is>
      </c>
      <c r="E32" s="10" t="inlineStr">
        <is>
          <t>2569|12</t>
        </is>
      </c>
      <c r="F32" s="10" t="inlineStr">
        <is>
          <t>ใช่</t>
        </is>
      </c>
    </row>
    <row r="33">
      <c r="A33" s="10" t="inlineStr">
        <is>
          <t>fiscal_months</t>
        </is>
      </c>
      <c r="B33" s="10" t="inlineStr">
        <is>
          <t>month_key / month_label / quarter</t>
        </is>
      </c>
      <c r="C33" s="10" t="inlineStr">
        <is>
          <t>ข้อความ/ตัวเลข</t>
        </is>
      </c>
      <c r="D33" s="10" t="inlineStr">
        <is>
          <t>ปฏิทินปีงบประมาณ เริ่ม 1 ต.ค. ถึง 30 ก.ย.</t>
        </is>
      </c>
      <c r="E33" s="10" t="inlineStr">
        <is>
          <t>2026-09 / ก.ย. 69 / 4</t>
        </is>
      </c>
      <c r="F33" s="10" t="inlineStr">
        <is>
          <t>ใช่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2026-10-05T15:18:26Z</dcterms:created>
  <dcterms:modified xmlns:dcterms="http://purl.org/dc/terms/" xmlns:xsi="http://www.w3.org/2001/XMLSchema-instance" xsi:type="dcterms:W3CDTF">2026-10-05T15:18:26Z</dcterms:modified>
</cp:coreProperties>
</file>